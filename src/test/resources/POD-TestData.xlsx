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Tecra_WorkData\WorkData\ACGen5\AT\Implemented Scripts\ACGen5_PrintOrderDemand\src\test\resources\"/>
    </mc:Choice>
  </mc:AlternateContent>
  <xr:revisionPtr revIDLastSave="0" documentId="13_ncr:1_{333ADE62-4871-43E9-99F7-D13244B1B0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7" i="1" l="1"/>
  <c r="BI15" i="1"/>
  <c r="BI16" i="1"/>
  <c r="BH16" i="1"/>
  <c r="BH17" i="1"/>
  <c r="BH15" i="1"/>
  <c r="AT3" i="1" l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P9" i="1" l="1"/>
  <c r="AP8" i="1"/>
  <c r="AP7" i="1"/>
  <c r="AP6" i="1"/>
  <c r="BA17" i="1" l="1"/>
  <c r="AZ17" i="1"/>
  <c r="AY17" i="1"/>
  <c r="AP17" i="1"/>
  <c r="AI17" i="1"/>
  <c r="BA16" i="1"/>
  <c r="AZ16" i="1"/>
  <c r="AY16" i="1"/>
  <c r="AP16" i="1"/>
  <c r="AI16" i="1"/>
  <c r="AQ16" i="1" s="1"/>
  <c r="AS16" i="1" s="1"/>
  <c r="BA15" i="1"/>
  <c r="AZ15" i="1"/>
  <c r="AY15" i="1"/>
  <c r="AP15" i="1"/>
  <c r="AI15" i="1"/>
  <c r="AQ15" i="1" s="1"/>
  <c r="AS15" i="1" s="1"/>
  <c r="BA14" i="1"/>
  <c r="AZ14" i="1"/>
  <c r="AY14" i="1"/>
  <c r="AP14" i="1"/>
  <c r="AI14" i="1"/>
  <c r="AQ14" i="1" s="1"/>
  <c r="AS14" i="1" s="1"/>
  <c r="BA13" i="1"/>
  <c r="AZ13" i="1"/>
  <c r="AY13" i="1"/>
  <c r="AP13" i="1"/>
  <c r="AI13" i="1"/>
  <c r="BA12" i="1"/>
  <c r="AZ12" i="1"/>
  <c r="AY12" i="1"/>
  <c r="AP12" i="1"/>
  <c r="AI12" i="1"/>
  <c r="BA11" i="1"/>
  <c r="AZ11" i="1"/>
  <c r="AY11" i="1"/>
  <c r="AP11" i="1"/>
  <c r="AI11" i="1"/>
  <c r="AQ11" i="1" s="1"/>
  <c r="BA10" i="1"/>
  <c r="AZ10" i="1"/>
  <c r="AY10" i="1"/>
  <c r="AP10" i="1"/>
  <c r="AI10" i="1"/>
  <c r="AQ10" i="1" s="1"/>
  <c r="AS10" i="1" s="1"/>
  <c r="BA9" i="1"/>
  <c r="AZ9" i="1"/>
  <c r="AY9" i="1"/>
  <c r="AI9" i="1"/>
  <c r="AQ9" i="1" s="1"/>
  <c r="BA8" i="1"/>
  <c r="AZ8" i="1"/>
  <c r="AY8" i="1"/>
  <c r="AI8" i="1"/>
  <c r="BA7" i="1"/>
  <c r="AZ7" i="1"/>
  <c r="AY7" i="1"/>
  <c r="AI7" i="1"/>
  <c r="BA6" i="1"/>
  <c r="AZ6" i="1"/>
  <c r="AY6" i="1"/>
  <c r="AI6" i="1"/>
  <c r="AQ13" i="1" l="1"/>
  <c r="AS13" i="1" s="1"/>
  <c r="AS9" i="1"/>
  <c r="AR9" i="1"/>
  <c r="AR11" i="1"/>
  <c r="AS11" i="1"/>
  <c r="AQ7" i="1"/>
  <c r="AQ6" i="1"/>
  <c r="AS6" i="1" s="1"/>
  <c r="AQ12" i="1"/>
  <c r="AQ8" i="1"/>
  <c r="AR8" i="1" s="1"/>
  <c r="AQ17" i="1"/>
  <c r="AV16" i="1"/>
  <c r="AX16" i="1" s="1"/>
  <c r="AR16" i="1"/>
  <c r="AV14" i="1"/>
  <c r="AX14" i="1" s="1"/>
  <c r="AR14" i="1"/>
  <c r="AR17" i="1"/>
  <c r="AV15" i="1"/>
  <c r="AX15" i="1" s="1"/>
  <c r="AR15" i="1"/>
  <c r="AV10" i="1"/>
  <c r="AX10" i="1" s="1"/>
  <c r="AR10" i="1"/>
  <c r="AV13" i="1"/>
  <c r="AX13" i="1" s="1"/>
  <c r="AR13" i="1"/>
  <c r="AV11" i="1"/>
  <c r="AX11" i="1" s="1"/>
  <c r="AV9" i="1"/>
  <c r="AX9" i="1" s="1"/>
  <c r="AR6" i="1"/>
  <c r="AV17" i="1" l="1"/>
  <c r="AX17" i="1" s="1"/>
  <c r="BB17" i="1" s="1"/>
  <c r="BD17" i="1" s="1"/>
  <c r="AS17" i="1"/>
  <c r="AV12" i="1"/>
  <c r="AX12" i="1" s="1"/>
  <c r="AR12" i="1"/>
  <c r="AS12" i="1"/>
  <c r="AV8" i="1"/>
  <c r="AX8" i="1" s="1"/>
  <c r="AS8" i="1"/>
  <c r="AR7" i="1"/>
  <c r="AU7" i="1" s="1"/>
  <c r="AS7" i="1"/>
  <c r="AV7" i="1"/>
  <c r="AX7" i="1" s="1"/>
  <c r="BB7" i="1" s="1"/>
  <c r="AV6" i="1"/>
  <c r="AX6" i="1" s="1"/>
  <c r="BB6" i="1" s="1"/>
  <c r="BD6" i="1" s="1"/>
  <c r="BC6" i="1" s="1"/>
  <c r="BE6" i="1" s="1"/>
  <c r="AU8" i="1"/>
  <c r="AU15" i="1"/>
  <c r="BB15" i="1"/>
  <c r="BD15" i="1" s="1"/>
  <c r="AU17" i="1"/>
  <c r="AU14" i="1"/>
  <c r="BB14" i="1"/>
  <c r="BD14" i="1" s="1"/>
  <c r="AU16" i="1"/>
  <c r="BB16" i="1"/>
  <c r="BD16" i="1" s="1"/>
  <c r="AU11" i="1"/>
  <c r="BB11" i="1"/>
  <c r="BD11" i="1" s="1"/>
  <c r="AU13" i="1"/>
  <c r="BB13" i="1"/>
  <c r="BD13" i="1" s="1"/>
  <c r="AU10" i="1"/>
  <c r="BB10" i="1"/>
  <c r="BD10" i="1" s="1"/>
  <c r="BB12" i="1"/>
  <c r="BD12" i="1" s="1"/>
  <c r="AU6" i="1"/>
  <c r="AU9" i="1"/>
  <c r="BB9" i="1"/>
  <c r="BD9" i="1" s="1"/>
  <c r="BD7" i="1" l="1"/>
  <c r="BC7" i="1" s="1"/>
  <c r="BE7" i="1" s="1"/>
  <c r="BB8" i="1"/>
  <c r="BD8" i="1" s="1"/>
  <c r="AU12" i="1"/>
  <c r="BC14" i="1"/>
  <c r="BE14" i="1" s="1"/>
  <c r="BC17" i="1"/>
  <c r="BE17" i="1" s="1"/>
  <c r="BC15" i="1"/>
  <c r="BE15" i="1" s="1"/>
  <c r="BC16" i="1"/>
  <c r="BE16" i="1" s="1"/>
  <c r="BC10" i="1"/>
  <c r="BE10" i="1" s="1"/>
  <c r="BC13" i="1"/>
  <c r="BE13" i="1" s="1"/>
  <c r="BC11" i="1"/>
  <c r="BE11" i="1" s="1"/>
  <c r="BC12" i="1"/>
  <c r="BE12" i="1" s="1"/>
  <c r="BC9" i="1"/>
  <c r="BE9" i="1" s="1"/>
  <c r="AP5" i="1"/>
  <c r="AP4" i="1"/>
  <c r="AI4" i="1"/>
  <c r="AI3" i="1"/>
  <c r="AQ3" i="1" s="1"/>
  <c r="AS3" i="1" s="1"/>
  <c r="AI5" i="1"/>
  <c r="AI2" i="1"/>
  <c r="AQ2" i="1" s="1"/>
  <c r="AY5" i="1"/>
  <c r="AY4" i="1"/>
  <c r="AY3" i="1"/>
  <c r="AT2" i="1"/>
  <c r="AY2" i="1"/>
  <c r="AP3" i="1"/>
  <c r="BA5" i="1"/>
  <c r="AZ5" i="1"/>
  <c r="BA4" i="1"/>
  <c r="AZ4" i="1"/>
  <c r="BA3" i="1"/>
  <c r="AZ3" i="1"/>
  <c r="AQ5" i="1" l="1"/>
  <c r="AR5" i="1" s="1"/>
  <c r="BC8" i="1"/>
  <c r="BE8" i="1" s="1"/>
  <c r="AR3" i="1"/>
  <c r="AP2" i="1"/>
  <c r="AQ4" i="1"/>
  <c r="AS5" i="1" l="1"/>
  <c r="AR4" i="1"/>
  <c r="AS4" i="1"/>
  <c r="AV4" i="1"/>
  <c r="AX4" i="1" s="1"/>
  <c r="AV5" i="1"/>
  <c r="AX5" i="1" s="1"/>
  <c r="AV3" i="1"/>
  <c r="AX3" i="1" s="1"/>
  <c r="AR2" i="1"/>
  <c r="AS2" i="1" s="1"/>
  <c r="AV2" i="1"/>
  <c r="BA2" i="1"/>
  <c r="AZ2" i="1"/>
  <c r="BB3" i="1" l="1"/>
  <c r="BD3" i="1" s="1"/>
  <c r="BB5" i="1"/>
  <c r="BD5" i="1" s="1"/>
  <c r="BC5" i="1" s="1"/>
  <c r="AU5" i="1"/>
  <c r="BB4" i="1"/>
  <c r="AU4" i="1"/>
  <c r="AU3" i="1"/>
  <c r="AU2" i="1"/>
  <c r="AX2" i="1" s="1"/>
  <c r="BB2" i="1" s="1"/>
  <c r="BD4" i="1" l="1"/>
  <c r="BC4" i="1" s="1"/>
  <c r="BE4" i="1" s="1"/>
  <c r="BC3" i="1"/>
  <c r="BE3" i="1" s="1"/>
  <c r="BE5" i="1"/>
  <c r="BD2" i="1"/>
  <c r="BC2" i="1" s="1"/>
  <c r="BE2" i="1" s="1"/>
</calcChain>
</file>

<file path=xl/sharedStrings.xml><?xml version="1.0" encoding="utf-8"?>
<sst xmlns="http://schemas.openxmlformats.org/spreadsheetml/2006/main" count="457" uniqueCount="86">
  <si>
    <t>Shipping Basis</t>
  </si>
  <si>
    <t>ShippingPriceBasis</t>
  </si>
  <si>
    <t>Default Package Weight for Consolidated Shipping</t>
  </si>
  <si>
    <t>user order shipping orhandling fee</t>
  </si>
  <si>
    <t>Enable Calculate Tax</t>
  </si>
  <si>
    <t>Tax Provider</t>
  </si>
  <si>
    <t>Decimal Value</t>
  </si>
  <si>
    <t>Weightdecimalvalue</t>
  </si>
  <si>
    <t>OrderAmountValue</t>
  </si>
  <si>
    <t>Enable Promotions/Discounts</t>
  </si>
  <si>
    <t>Enable Promotions on Order Total</t>
  </si>
  <si>
    <t>Shipping is Taxable</t>
  </si>
  <si>
    <t>Enable Zero Amount Order</t>
  </si>
  <si>
    <t>Show Billing Address For Zero Amount / Hide Pricing</t>
  </si>
  <si>
    <t>Tax (%)</t>
  </si>
  <si>
    <t>Payment Method</t>
  </si>
  <si>
    <t>Payment SubOption</t>
  </si>
  <si>
    <t>Enable Multi Payment Methods</t>
  </si>
  <si>
    <t>Shipping Address same as Billing Address</t>
  </si>
  <si>
    <t>Enable Cost Centers</t>
  </si>
  <si>
    <t>Fulfillment Charge per Order</t>
  </si>
  <si>
    <t>Fulfillment Charge Per Item</t>
  </si>
  <si>
    <t>Product Price(PerPiece)</t>
  </si>
  <si>
    <t>Product Price (Flat Rate)</t>
  </si>
  <si>
    <t>ShippingPricePerPiece</t>
  </si>
  <si>
    <t>Coupon</t>
  </si>
  <si>
    <t>Coupon Percentage</t>
  </si>
  <si>
    <t>Product Name</t>
  </si>
  <si>
    <t>Exempt from Taxes</t>
  </si>
  <si>
    <t>Minimum Price</t>
  </si>
  <si>
    <t>Quantity</t>
  </si>
  <si>
    <t>VSItem Price</t>
  </si>
  <si>
    <t>VSTotal Price</t>
  </si>
  <si>
    <t>SCQuantity</t>
  </si>
  <si>
    <t>SCUnit Price</t>
  </si>
  <si>
    <t>SCAmount Price</t>
  </si>
  <si>
    <t>Shipping Addresses</t>
  </si>
  <si>
    <t>OCSubtotal</t>
  </si>
  <si>
    <t>OCShipping</t>
  </si>
  <si>
    <t>OCHandlingFee</t>
  </si>
  <si>
    <t>OCFulfillement Charges</t>
  </si>
  <si>
    <t>OCTax Amount</t>
  </si>
  <si>
    <t>OCPromotion</t>
  </si>
  <si>
    <t>OCTotal</t>
  </si>
  <si>
    <t>OCTotalAfterCouponApplied</t>
  </si>
  <si>
    <t>Payment1Price</t>
  </si>
  <si>
    <t>AmtAfterPayment1</t>
  </si>
  <si>
    <t>Payment2Price</t>
  </si>
  <si>
    <t>AmtAfterPayment2</t>
  </si>
  <si>
    <t>Individual</t>
  </si>
  <si>
    <t>-</t>
  </si>
  <si>
    <t>YES</t>
  </si>
  <si>
    <t>Custom Tax</t>
  </si>
  <si>
    <t>NO</t>
  </si>
  <si>
    <t>No</t>
  </si>
  <si>
    <t>Billing</t>
  </si>
  <si>
    <t>Y</t>
  </si>
  <si>
    <t>ShipToMyAddress</t>
  </si>
  <si>
    <t>POD- Item Price</t>
  </si>
  <si>
    <t>No. of Pages</t>
  </si>
  <si>
    <t>Parameter/Option Price</t>
  </si>
  <si>
    <t xml:space="preserve">POD Price (Before Change) </t>
  </si>
  <si>
    <t>POD - Options
Print</t>
  </si>
  <si>
    <t>POD - Options
Paper</t>
  </si>
  <si>
    <t>POD - Options
Finishing</t>
  </si>
  <si>
    <t>POD - Options
Advanced</t>
  </si>
  <si>
    <t>Order</t>
  </si>
  <si>
    <t>Consolidated</t>
  </si>
  <si>
    <t>POD Option Price</t>
  </si>
  <si>
    <t>Price Calculation on Page Count</t>
  </si>
  <si>
    <t>Simplex price calculation when 'Apply Per Page/Paper Pricing'</t>
  </si>
  <si>
    <t>Duplex price calculation when 'Apply Per Page/Paper Pricing'</t>
  </si>
  <si>
    <t>Description</t>
  </si>
  <si>
    <t>AT_POD</t>
  </si>
  <si>
    <t>Per Piece</t>
  </si>
  <si>
    <t>Flat Rate</t>
  </si>
  <si>
    <t>POD Parameter Unit Type</t>
  </si>
  <si>
    <t>POD Item Price Unit Type</t>
  </si>
  <si>
    <t>Coop Fund</t>
  </si>
  <si>
    <t>Credit Card</t>
  </si>
  <si>
    <t>Split Ship</t>
  </si>
  <si>
    <t>Split Shipping Price 2</t>
  </si>
  <si>
    <t>Quantity 1 for Split Ship</t>
  </si>
  <si>
    <t>Split Shipping Price 1</t>
  </si>
  <si>
    <t>Quantity 2 for Split Ship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</si>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</sst>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0%"/>
    <numFmt numFmtId="166" formatCode="0.0000"/>
    <numFmt numFmtId="167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/>
    <xf numFmtId="9" fontId="3" fillId="0" borderId="1" xfId="0" applyNumberFormat="1" applyFont="1" applyBorder="1"/>
    <xf numFmtId="2" fontId="3" fillId="0" borderId="1" xfId="0" applyNumberFormat="1" applyFont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3" fillId="0" borderId="1" xfId="0" applyNumberFormat="1" applyFont="1" applyBorder="1"/>
    <xf numFmtId="165" fontId="3" fillId="0" borderId="1" xfId="0" applyNumberFormat="1" applyFont="1" applyBorder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3" fillId="0" borderId="1" xfId="0" applyNumberFormat="1" applyFont="1" applyBorder="1"/>
    <xf numFmtId="167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9"/>
  <sheetViews>
    <sheetView tabSelected="1" zoomScale="85" zoomScaleNormal="85" workbookViewId="0">
      <pane ySplit="1" topLeftCell="A2" activePane="bottomLeft" state="frozen"/>
      <selection activeCell="AJ1" sqref="AJ1"/>
      <selection pane="bottomLeft" activeCell="K15" sqref="K15"/>
    </sheetView>
  </sheetViews>
  <sheetFormatPr defaultRowHeight="14.4" x14ac:dyDescent="0.3"/>
  <cols>
    <col min="2" max="2" width="54.44140625" bestFit="1" customWidth="1"/>
    <col min="4" max="4" width="10.88671875" customWidth="1"/>
    <col min="12" max="29" width="8.88671875" customWidth="1"/>
    <col min="30" max="30" width="16.6640625" customWidth="1"/>
    <col min="31" max="32" width="8.88671875" customWidth="1"/>
    <col min="33" max="33" width="23.88671875" customWidth="1"/>
    <col min="34" max="34" width="24.33203125" customWidth="1"/>
    <col min="35" max="43" width="18.21875" customWidth="1"/>
  </cols>
  <sheetData>
    <row r="1" spans="1:65" ht="96.6" x14ac:dyDescent="0.3">
      <c r="A1" s="1" t="s">
        <v>85</v>
      </c>
      <c r="B1" s="1" t="s">
        <v>72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2" t="s">
        <v>77</v>
      </c>
      <c r="AH1" s="12" t="s">
        <v>76</v>
      </c>
      <c r="AI1" s="8" t="s">
        <v>58</v>
      </c>
      <c r="AJ1" s="8" t="s">
        <v>59</v>
      </c>
      <c r="AK1" s="8" t="s">
        <v>30</v>
      </c>
      <c r="AL1" s="8" t="s">
        <v>62</v>
      </c>
      <c r="AM1" s="8" t="s">
        <v>63</v>
      </c>
      <c r="AN1" s="8" t="s">
        <v>64</v>
      </c>
      <c r="AO1" s="8" t="s">
        <v>65</v>
      </c>
      <c r="AP1" s="8" t="s">
        <v>60</v>
      </c>
      <c r="AQ1" s="8" t="s">
        <v>61</v>
      </c>
      <c r="AR1" s="2" t="s">
        <v>31</v>
      </c>
      <c r="AS1" s="2" t="s">
        <v>32</v>
      </c>
      <c r="AT1" s="2" t="s">
        <v>33</v>
      </c>
      <c r="AU1" s="2" t="s">
        <v>34</v>
      </c>
      <c r="AV1" s="2" t="s">
        <v>35</v>
      </c>
      <c r="AW1" s="2" t="s">
        <v>36</v>
      </c>
      <c r="AX1" s="2" t="s">
        <v>37</v>
      </c>
      <c r="AY1" s="2" t="s">
        <v>38</v>
      </c>
      <c r="AZ1" s="2" t="s">
        <v>39</v>
      </c>
      <c r="BA1" s="2" t="s">
        <v>40</v>
      </c>
      <c r="BB1" s="2" t="s">
        <v>41</v>
      </c>
      <c r="BC1" s="2" t="s">
        <v>42</v>
      </c>
      <c r="BD1" s="2" t="s">
        <v>43</v>
      </c>
      <c r="BE1" s="2" t="s">
        <v>44</v>
      </c>
      <c r="BF1" s="2" t="s">
        <v>82</v>
      </c>
      <c r="BG1" s="2" t="s">
        <v>84</v>
      </c>
      <c r="BH1" s="2" t="s">
        <v>83</v>
      </c>
      <c r="BI1" s="2" t="s">
        <v>81</v>
      </c>
      <c r="BJ1" s="2" t="s">
        <v>45</v>
      </c>
      <c r="BK1" s="2" t="s">
        <v>46</v>
      </c>
      <c r="BL1" s="2" t="s">
        <v>47</v>
      </c>
      <c r="BM1" s="2" t="s">
        <v>48</v>
      </c>
    </row>
    <row r="2" spans="1:65" x14ac:dyDescent="0.3">
      <c r="A2" s="13">
        <v>1</v>
      </c>
      <c r="B2" s="13" t="s">
        <v>68</v>
      </c>
      <c r="C2" s="3" t="s">
        <v>66</v>
      </c>
      <c r="D2" s="3" t="s">
        <v>49</v>
      </c>
      <c r="E2" s="4" t="s">
        <v>50</v>
      </c>
      <c r="F2" s="3">
        <v>3.1230000000000002</v>
      </c>
      <c r="G2" s="3" t="s">
        <v>51</v>
      </c>
      <c r="H2" s="3" t="s">
        <v>52</v>
      </c>
      <c r="I2" s="3">
        <v>3</v>
      </c>
      <c r="J2" s="3">
        <v>3</v>
      </c>
      <c r="K2" s="3">
        <v>3</v>
      </c>
      <c r="L2" s="3" t="s">
        <v>51</v>
      </c>
      <c r="M2" s="3" t="s">
        <v>51</v>
      </c>
      <c r="N2" s="3" t="s">
        <v>51</v>
      </c>
      <c r="O2" s="3" t="s">
        <v>54</v>
      </c>
      <c r="P2" s="3" t="s">
        <v>50</v>
      </c>
      <c r="Q2" s="10">
        <v>4.727E-2</v>
      </c>
      <c r="R2" s="3" t="s">
        <v>55</v>
      </c>
      <c r="S2" s="3"/>
      <c r="T2" s="3" t="s">
        <v>51</v>
      </c>
      <c r="U2" s="3" t="s">
        <v>51</v>
      </c>
      <c r="V2" s="3" t="s">
        <v>53</v>
      </c>
      <c r="W2" s="3">
        <v>5.1319999999999997</v>
      </c>
      <c r="X2" s="3">
        <v>1.823</v>
      </c>
      <c r="Y2" s="3">
        <v>1.6839999999999999</v>
      </c>
      <c r="Z2" s="3">
        <v>0</v>
      </c>
      <c r="AA2" s="3">
        <v>15.241</v>
      </c>
      <c r="AB2" s="10">
        <v>0.10650999999999999</v>
      </c>
      <c r="AC2" s="3" t="s">
        <v>51</v>
      </c>
      <c r="AD2" s="3" t="s">
        <v>73</v>
      </c>
      <c r="AE2" s="3" t="s">
        <v>53</v>
      </c>
      <c r="AF2" s="3">
        <v>0</v>
      </c>
      <c r="AG2" s="13" t="s">
        <v>74</v>
      </c>
      <c r="AH2" s="13" t="s">
        <v>74</v>
      </c>
      <c r="AI2" s="9">
        <f>Y2</f>
        <v>1.6839999999999999</v>
      </c>
      <c r="AJ2" s="9">
        <v>1</v>
      </c>
      <c r="AK2" s="9">
        <v>1</v>
      </c>
      <c r="AL2" s="9">
        <v>12.513999999999999</v>
      </c>
      <c r="AM2" s="9">
        <v>13.654</v>
      </c>
      <c r="AN2" s="9">
        <v>14.515000000000001</v>
      </c>
      <c r="AO2" s="9">
        <v>16.515999999999998</v>
      </c>
      <c r="AP2" s="9">
        <f>SUM(AL2+AM2+AN2+AO2)</f>
        <v>57.198999999999998</v>
      </c>
      <c r="AQ2" s="9">
        <f>(AI2*AK2)+(AL2*AK2)+(AM2*AK2)+(AN2*AK2)+(AO2*AK2)</f>
        <v>58.882999999999996</v>
      </c>
      <c r="AR2" s="3">
        <f t="shared" ref="AR2" si="0">AQ2</f>
        <v>58.882999999999996</v>
      </c>
      <c r="AS2" s="3">
        <f>AR2*AK2</f>
        <v>58.882999999999996</v>
      </c>
      <c r="AT2" s="3">
        <f>AK2</f>
        <v>1</v>
      </c>
      <c r="AU2" s="3">
        <f t="shared" ref="AU2:AU17" si="1">AR2</f>
        <v>58.882999999999996</v>
      </c>
      <c r="AV2" s="3">
        <f t="shared" ref="AV2:AV17" si="2">AQ2</f>
        <v>58.882999999999996</v>
      </c>
      <c r="AW2" s="3" t="s">
        <v>57</v>
      </c>
      <c r="AX2" s="3">
        <f>AV2</f>
        <v>58.882999999999996</v>
      </c>
      <c r="AY2" s="3">
        <f t="shared" ref="AY2:AY17" si="3">SUM(AK2*AA2)</f>
        <v>15.241</v>
      </c>
      <c r="AZ2" s="3">
        <f t="shared" ref="AZ2:AZ17" si="4">F2</f>
        <v>3.1230000000000002</v>
      </c>
      <c r="BA2" s="3">
        <f t="shared" ref="BA2:BA17" si="5">SUM(W2+X2)</f>
        <v>6.9550000000000001</v>
      </c>
      <c r="BB2" s="18">
        <f>(AX2+AY2+AZ2+BA2)*Q2</f>
        <v>3.9802285399999997</v>
      </c>
      <c r="BC2" s="18">
        <f t="shared" ref="BC2:BC17" si="6">BD2*AB2</f>
        <v>9.3922891617953983</v>
      </c>
      <c r="BD2" s="18">
        <f>SUM(AX2+AY2+AZ2+BA2+BB2)</f>
        <v>88.182228539999997</v>
      </c>
      <c r="BE2" s="18">
        <f>SUM(AX2+AY2+AZ2+BA2+BB2-BC2)</f>
        <v>78.789939378204593</v>
      </c>
      <c r="BF2" s="18"/>
      <c r="BG2" s="18"/>
      <c r="BH2" s="18"/>
      <c r="BI2" s="18"/>
      <c r="BJ2" s="3" t="s">
        <v>50</v>
      </c>
      <c r="BK2" s="3" t="s">
        <v>50</v>
      </c>
      <c r="BL2" s="3" t="s">
        <v>50</v>
      </c>
      <c r="BM2" s="3" t="s">
        <v>50</v>
      </c>
    </row>
    <row r="3" spans="1:65" ht="17.399999999999999" customHeight="1" x14ac:dyDescent="0.3">
      <c r="A3" s="13">
        <v>2</v>
      </c>
      <c r="B3" s="13" t="s">
        <v>68</v>
      </c>
      <c r="C3" s="3" t="s">
        <v>66</v>
      </c>
      <c r="D3" s="3" t="s">
        <v>67</v>
      </c>
      <c r="E3" s="4">
        <v>100</v>
      </c>
      <c r="F3" s="3">
        <v>5.12</v>
      </c>
      <c r="G3" s="3" t="s">
        <v>51</v>
      </c>
      <c r="H3" s="3" t="s">
        <v>52</v>
      </c>
      <c r="I3" s="3">
        <v>2</v>
      </c>
      <c r="J3" s="3">
        <v>2</v>
      </c>
      <c r="K3" s="3">
        <v>2</v>
      </c>
      <c r="L3" s="3" t="s">
        <v>51</v>
      </c>
      <c r="M3" s="3" t="s">
        <v>51</v>
      </c>
      <c r="N3" s="3" t="s">
        <v>53</v>
      </c>
      <c r="O3" s="3" t="s">
        <v>54</v>
      </c>
      <c r="P3" s="3" t="s">
        <v>50</v>
      </c>
      <c r="Q3" s="5">
        <v>7.46E-2</v>
      </c>
      <c r="R3" s="3" t="s">
        <v>55</v>
      </c>
      <c r="S3" s="3"/>
      <c r="T3" s="3" t="s">
        <v>51</v>
      </c>
      <c r="U3" s="3" t="s">
        <v>51</v>
      </c>
      <c r="V3" s="3" t="s">
        <v>53</v>
      </c>
      <c r="W3" s="3">
        <v>3.87</v>
      </c>
      <c r="X3" s="3">
        <v>3.24</v>
      </c>
      <c r="Y3" s="3">
        <v>0</v>
      </c>
      <c r="Z3" s="3">
        <v>2.64</v>
      </c>
      <c r="AA3" s="3">
        <v>15.24</v>
      </c>
      <c r="AB3" s="5">
        <v>0.1246</v>
      </c>
      <c r="AC3" s="3" t="s">
        <v>56</v>
      </c>
      <c r="AD3" s="3" t="s">
        <v>73</v>
      </c>
      <c r="AE3" s="3" t="s">
        <v>53</v>
      </c>
      <c r="AF3" s="3">
        <v>0</v>
      </c>
      <c r="AG3" s="13" t="s">
        <v>75</v>
      </c>
      <c r="AH3" s="13" t="s">
        <v>74</v>
      </c>
      <c r="AI3" s="9">
        <f>Z3</f>
        <v>2.64</v>
      </c>
      <c r="AJ3" s="9">
        <v>1</v>
      </c>
      <c r="AK3" s="9">
        <v>2</v>
      </c>
      <c r="AL3" s="9">
        <v>15.65</v>
      </c>
      <c r="AM3" s="9">
        <v>16.45</v>
      </c>
      <c r="AN3" s="9">
        <v>18.64</v>
      </c>
      <c r="AO3" s="9">
        <v>10.46</v>
      </c>
      <c r="AP3" s="9">
        <f>SUM(AL3+AM3+AN3+AO3)</f>
        <v>61.2</v>
      </c>
      <c r="AQ3" s="9">
        <f>(AI3)+(AL3*AK3)+(AM3*AK3)+(AN3*AK3)+(AO3*AK3)</f>
        <v>125.04</v>
      </c>
      <c r="AR3" s="3">
        <f>SUM(AP3+(AI3/AK3))</f>
        <v>62.52</v>
      </c>
      <c r="AS3" s="3">
        <f>AQ3</f>
        <v>125.04</v>
      </c>
      <c r="AT3" s="3">
        <f t="shared" ref="AT3:AT17" si="7">AK3</f>
        <v>2</v>
      </c>
      <c r="AU3" s="3">
        <f t="shared" si="1"/>
        <v>62.52</v>
      </c>
      <c r="AV3" s="3">
        <f t="shared" si="2"/>
        <v>125.04</v>
      </c>
      <c r="AW3" s="3" t="s">
        <v>57</v>
      </c>
      <c r="AX3" s="3">
        <f t="shared" ref="AX3:AX5" si="8">AV3</f>
        <v>125.04</v>
      </c>
      <c r="AY3" s="3">
        <f t="shared" si="3"/>
        <v>30.48</v>
      </c>
      <c r="AZ3" s="3">
        <f t="shared" si="4"/>
        <v>5.12</v>
      </c>
      <c r="BA3" s="3">
        <f t="shared" si="5"/>
        <v>7.11</v>
      </c>
      <c r="BB3" s="7">
        <f>(AX3+AZ3+BA3)*Q3</f>
        <v>10.240342</v>
      </c>
      <c r="BC3" s="7">
        <f t="shared" si="6"/>
        <v>22.177596613200002</v>
      </c>
      <c r="BD3" s="7">
        <f t="shared" ref="BD3:BD17" si="9">SUM(AX3+AY3+AZ3+BA3+BB3)</f>
        <v>177.99034200000003</v>
      </c>
      <c r="BE3" s="7">
        <f t="shared" ref="BE3:BE5" si="10">SUM(AX3+AY3+AZ3+BA3+BB3-BC3)</f>
        <v>155.81274538680003</v>
      </c>
      <c r="BF3" s="7"/>
      <c r="BG3" s="7"/>
      <c r="BH3" s="7"/>
      <c r="BI3" s="7"/>
      <c r="BJ3" s="3" t="s">
        <v>50</v>
      </c>
      <c r="BK3" s="3" t="s">
        <v>50</v>
      </c>
      <c r="BL3" s="3" t="s">
        <v>50</v>
      </c>
      <c r="BM3" s="3" t="s">
        <v>50</v>
      </c>
    </row>
    <row r="4" spans="1:65" ht="18" customHeight="1" x14ac:dyDescent="0.3">
      <c r="A4" s="13">
        <v>3</v>
      </c>
      <c r="B4" s="13" t="s">
        <v>68</v>
      </c>
      <c r="C4" s="3" t="s">
        <v>66</v>
      </c>
      <c r="D4" s="3" t="s">
        <v>49</v>
      </c>
      <c r="E4" s="4" t="s">
        <v>50</v>
      </c>
      <c r="F4" s="3">
        <v>5.4131999999999998</v>
      </c>
      <c r="G4" s="3" t="s">
        <v>51</v>
      </c>
      <c r="H4" s="3" t="s">
        <v>52</v>
      </c>
      <c r="I4" s="3">
        <v>4</v>
      </c>
      <c r="J4" s="3">
        <v>4</v>
      </c>
      <c r="K4" s="3">
        <v>4</v>
      </c>
      <c r="L4" s="3" t="s">
        <v>53</v>
      </c>
      <c r="M4" s="3" t="s">
        <v>53</v>
      </c>
      <c r="N4" s="3" t="s">
        <v>51</v>
      </c>
      <c r="O4" s="3" t="s">
        <v>54</v>
      </c>
      <c r="P4" s="3" t="s">
        <v>50</v>
      </c>
      <c r="Q4" s="11">
        <v>3.4666000000000002E-2</v>
      </c>
      <c r="R4" s="3" t="s">
        <v>79</v>
      </c>
      <c r="S4" s="3"/>
      <c r="T4" s="3" t="s">
        <v>51</v>
      </c>
      <c r="U4" s="3" t="s">
        <v>51</v>
      </c>
      <c r="V4" s="3" t="s">
        <v>51</v>
      </c>
      <c r="W4" s="3">
        <v>3</v>
      </c>
      <c r="X4" s="3">
        <v>6</v>
      </c>
      <c r="Y4" s="3">
        <v>0</v>
      </c>
      <c r="Z4" s="3">
        <v>6.1132999999999997</v>
      </c>
      <c r="AA4" s="3">
        <v>12.3566</v>
      </c>
      <c r="AB4" s="6">
        <v>0</v>
      </c>
      <c r="AC4" s="3" t="s">
        <v>56</v>
      </c>
      <c r="AD4" s="3" t="s">
        <v>73</v>
      </c>
      <c r="AE4" s="3" t="s">
        <v>53</v>
      </c>
      <c r="AF4" s="3">
        <v>0</v>
      </c>
      <c r="AG4" s="13" t="s">
        <v>75</v>
      </c>
      <c r="AH4" s="13" t="s">
        <v>75</v>
      </c>
      <c r="AI4" s="9">
        <f>Z4</f>
        <v>6.1132999999999997</v>
      </c>
      <c r="AJ4" s="9">
        <v>1</v>
      </c>
      <c r="AK4" s="9">
        <v>3</v>
      </c>
      <c r="AL4" s="9">
        <v>14.656599999999999</v>
      </c>
      <c r="AM4" s="9">
        <v>15.9765</v>
      </c>
      <c r="AN4" s="9">
        <v>10.1654</v>
      </c>
      <c r="AO4" s="9">
        <v>9.6464999999999996</v>
      </c>
      <c r="AP4" s="9">
        <f>SUM(AL4+AM4+AN4+AO4)</f>
        <v>50.444999999999993</v>
      </c>
      <c r="AQ4" s="9">
        <f>AI4+AP4</f>
        <v>56.558299999999996</v>
      </c>
      <c r="AR4" s="17">
        <f>AQ4/AK4</f>
        <v>18.852766666666664</v>
      </c>
      <c r="AS4" s="3">
        <f t="shared" ref="AS4:AS17" si="11">AQ4</f>
        <v>56.558299999999996</v>
      </c>
      <c r="AT4" s="3">
        <f t="shared" si="7"/>
        <v>3</v>
      </c>
      <c r="AU4" s="17">
        <f t="shared" si="1"/>
        <v>18.852766666666664</v>
      </c>
      <c r="AV4" s="3">
        <f t="shared" si="2"/>
        <v>56.558299999999996</v>
      </c>
      <c r="AW4" s="3" t="s">
        <v>57</v>
      </c>
      <c r="AX4" s="3">
        <f t="shared" si="8"/>
        <v>56.558299999999996</v>
      </c>
      <c r="AY4" s="3">
        <f t="shared" si="3"/>
        <v>37.069800000000001</v>
      </c>
      <c r="AZ4" s="3">
        <f t="shared" si="4"/>
        <v>5.4131999999999998</v>
      </c>
      <c r="BA4" s="3">
        <f t="shared" si="5"/>
        <v>9</v>
      </c>
      <c r="BB4" s="17">
        <f>(AX4+AY4+AZ4+BA4)*Q4</f>
        <v>3.7453597057999999</v>
      </c>
      <c r="BC4" s="3">
        <f t="shared" si="6"/>
        <v>0</v>
      </c>
      <c r="BD4" s="17">
        <f t="shared" si="9"/>
        <v>111.78665970579999</v>
      </c>
      <c r="BE4" s="17">
        <f t="shared" si="10"/>
        <v>111.78665970579999</v>
      </c>
      <c r="BF4" s="17"/>
      <c r="BG4" s="17"/>
      <c r="BH4" s="17"/>
      <c r="BI4" s="17"/>
      <c r="BJ4" s="3" t="s">
        <v>50</v>
      </c>
      <c r="BK4" s="3" t="s">
        <v>50</v>
      </c>
      <c r="BL4" s="3" t="s">
        <v>50</v>
      </c>
      <c r="BM4" s="3" t="s">
        <v>50</v>
      </c>
    </row>
    <row r="5" spans="1:65" x14ac:dyDescent="0.3">
      <c r="A5" s="13">
        <v>4</v>
      </c>
      <c r="B5" s="13" t="s">
        <v>68</v>
      </c>
      <c r="C5" s="3" t="s">
        <v>66</v>
      </c>
      <c r="D5" s="3" t="s">
        <v>67</v>
      </c>
      <c r="E5" s="4">
        <v>100</v>
      </c>
      <c r="F5" s="3">
        <v>4.6459999999999999</v>
      </c>
      <c r="G5" s="3" t="s">
        <v>51</v>
      </c>
      <c r="H5" s="3" t="s">
        <v>52</v>
      </c>
      <c r="I5" s="3">
        <v>3</v>
      </c>
      <c r="J5" s="3">
        <v>3</v>
      </c>
      <c r="K5" s="3">
        <v>3</v>
      </c>
      <c r="L5" s="3" t="s">
        <v>53</v>
      </c>
      <c r="M5" s="3" t="s">
        <v>53</v>
      </c>
      <c r="N5" s="3" t="s">
        <v>53</v>
      </c>
      <c r="O5" s="3" t="s">
        <v>54</v>
      </c>
      <c r="P5" s="3" t="s">
        <v>50</v>
      </c>
      <c r="Q5" s="10">
        <v>9.1649999999999995E-2</v>
      </c>
      <c r="R5" s="3" t="s">
        <v>55</v>
      </c>
      <c r="S5" s="3"/>
      <c r="T5" s="3" t="s">
        <v>51</v>
      </c>
      <c r="U5" s="3" t="s">
        <v>51</v>
      </c>
      <c r="V5" s="3" t="s">
        <v>51</v>
      </c>
      <c r="W5" s="3">
        <v>3.6509999999999998</v>
      </c>
      <c r="X5" s="3">
        <v>3.165</v>
      </c>
      <c r="Y5" s="3">
        <v>3.6509999999999998</v>
      </c>
      <c r="Z5" s="3">
        <v>0</v>
      </c>
      <c r="AA5" s="3">
        <v>12.651</v>
      </c>
      <c r="AB5" s="6">
        <v>0</v>
      </c>
      <c r="AC5" s="3" t="s">
        <v>56</v>
      </c>
      <c r="AD5" s="3" t="s">
        <v>73</v>
      </c>
      <c r="AE5" s="3" t="s">
        <v>53</v>
      </c>
      <c r="AF5" s="3">
        <v>0</v>
      </c>
      <c r="AG5" s="13" t="s">
        <v>74</v>
      </c>
      <c r="AH5" s="13" t="s">
        <v>75</v>
      </c>
      <c r="AI5" s="9">
        <f>Y5</f>
        <v>3.6509999999999998</v>
      </c>
      <c r="AJ5" s="9">
        <v>4</v>
      </c>
      <c r="AK5" s="9">
        <v>4</v>
      </c>
      <c r="AL5" s="9">
        <v>10.651</v>
      </c>
      <c r="AM5" s="9">
        <v>6.6509999999999998</v>
      </c>
      <c r="AN5" s="9">
        <v>3.6539999999999999</v>
      </c>
      <c r="AO5" s="9">
        <v>8.6449999999999996</v>
      </c>
      <c r="AP5" s="9">
        <f>SUM(AL5+AM5+AN5+AO5)</f>
        <v>29.600999999999999</v>
      </c>
      <c r="AQ5" s="9">
        <f>(AI5*AK5)+AP5</f>
        <v>44.204999999999998</v>
      </c>
      <c r="AR5" s="18">
        <f>AQ5/AK5</f>
        <v>11.05125</v>
      </c>
      <c r="AS5" s="3">
        <f t="shared" si="11"/>
        <v>44.204999999999998</v>
      </c>
      <c r="AT5" s="3">
        <f t="shared" si="7"/>
        <v>4</v>
      </c>
      <c r="AU5" s="18">
        <f t="shared" si="1"/>
        <v>11.05125</v>
      </c>
      <c r="AV5" s="3">
        <f t="shared" si="2"/>
        <v>44.204999999999998</v>
      </c>
      <c r="AW5" s="3" t="s">
        <v>57</v>
      </c>
      <c r="AX5" s="3">
        <f t="shared" si="8"/>
        <v>44.204999999999998</v>
      </c>
      <c r="AY5" s="3">
        <f t="shared" si="3"/>
        <v>50.603999999999999</v>
      </c>
      <c r="AZ5" s="3">
        <f t="shared" si="4"/>
        <v>4.6459999999999999</v>
      </c>
      <c r="BA5" s="3">
        <f t="shared" si="5"/>
        <v>6.8159999999999998</v>
      </c>
      <c r="BB5" s="18">
        <f>(AX5+AZ5+BA5)*Q5</f>
        <v>5.1018805499999997</v>
      </c>
      <c r="BC5" s="7">
        <f t="shared" si="6"/>
        <v>0</v>
      </c>
      <c r="BD5" s="18">
        <f t="shared" si="9"/>
        <v>111.37288055</v>
      </c>
      <c r="BE5" s="18">
        <f t="shared" si="10"/>
        <v>111.37288055</v>
      </c>
      <c r="BF5" s="18"/>
      <c r="BG5" s="18"/>
      <c r="BH5" s="18"/>
      <c r="BI5" s="18"/>
      <c r="BJ5" s="3" t="s">
        <v>50</v>
      </c>
      <c r="BK5" s="3" t="s">
        <v>50</v>
      </c>
      <c r="BL5" s="3" t="s">
        <v>50</v>
      </c>
      <c r="BM5" s="3" t="s">
        <v>50</v>
      </c>
    </row>
    <row r="6" spans="1:65" x14ac:dyDescent="0.3">
      <c r="A6" s="13">
        <v>5</v>
      </c>
      <c r="B6" s="13" t="s">
        <v>69</v>
      </c>
      <c r="C6" s="3" t="s">
        <v>66</v>
      </c>
      <c r="D6" s="3" t="s">
        <v>49</v>
      </c>
      <c r="E6" s="4" t="s">
        <v>50</v>
      </c>
      <c r="F6" s="3">
        <v>2.3450000000000002</v>
      </c>
      <c r="G6" s="3" t="s">
        <v>53</v>
      </c>
      <c r="H6" s="3" t="s">
        <v>50</v>
      </c>
      <c r="I6" s="3">
        <v>3</v>
      </c>
      <c r="J6" s="3">
        <v>3</v>
      </c>
      <c r="K6" s="3">
        <v>3</v>
      </c>
      <c r="L6" s="3" t="s">
        <v>51</v>
      </c>
      <c r="M6" s="3" t="s">
        <v>51</v>
      </c>
      <c r="N6" s="3" t="s">
        <v>51</v>
      </c>
      <c r="O6" s="3" t="s">
        <v>54</v>
      </c>
      <c r="P6" s="3" t="s">
        <v>50</v>
      </c>
      <c r="Q6" s="10">
        <v>0</v>
      </c>
      <c r="R6" s="3" t="s">
        <v>79</v>
      </c>
      <c r="S6" s="3"/>
      <c r="T6" s="3" t="s">
        <v>51</v>
      </c>
      <c r="U6" s="3" t="s">
        <v>51</v>
      </c>
      <c r="V6" s="3" t="s">
        <v>51</v>
      </c>
      <c r="W6" s="3">
        <v>9.6509999999999998</v>
      </c>
      <c r="X6" s="3">
        <v>1.823</v>
      </c>
      <c r="Y6" s="3">
        <v>1.6839999999999999</v>
      </c>
      <c r="Z6" s="3">
        <v>0</v>
      </c>
      <c r="AA6" s="3">
        <v>15.241</v>
      </c>
      <c r="AB6" s="10">
        <v>0.10650999999999999</v>
      </c>
      <c r="AC6" s="3" t="s">
        <v>51</v>
      </c>
      <c r="AD6" s="3" t="s">
        <v>73</v>
      </c>
      <c r="AE6" s="3" t="s">
        <v>53</v>
      </c>
      <c r="AF6" s="3">
        <v>0</v>
      </c>
      <c r="AG6" s="13" t="s">
        <v>74</v>
      </c>
      <c r="AH6" s="13" t="s">
        <v>74</v>
      </c>
      <c r="AI6" s="9">
        <f>Y6</f>
        <v>1.6839999999999999</v>
      </c>
      <c r="AJ6" s="9">
        <v>3</v>
      </c>
      <c r="AK6" s="9">
        <v>1</v>
      </c>
      <c r="AL6" s="9">
        <v>13.651</v>
      </c>
      <c r="AM6" s="9">
        <v>8.6110000000000007</v>
      </c>
      <c r="AN6" s="9">
        <v>6.6509999999999998</v>
      </c>
      <c r="AO6" s="9">
        <v>9.516</v>
      </c>
      <c r="AP6" s="9">
        <f t="shared" ref="AP6:AP9" si="12">SUM(AL6+AM6+AN6+AO6)</f>
        <v>38.429000000000002</v>
      </c>
      <c r="AQ6" s="9">
        <f>(AI6*AJ6*AK6)+(AL6*AK6)+(AM6*AK6)+(AN6*AK6)+(AO6*AK6)</f>
        <v>43.481000000000002</v>
      </c>
      <c r="AR6" s="3">
        <f t="shared" ref="AR6" si="13">AQ6</f>
        <v>43.481000000000002</v>
      </c>
      <c r="AS6" s="3">
        <f t="shared" si="11"/>
        <v>43.481000000000002</v>
      </c>
      <c r="AT6" s="3">
        <f t="shared" si="7"/>
        <v>1</v>
      </c>
      <c r="AU6" s="3">
        <f t="shared" si="1"/>
        <v>43.481000000000002</v>
      </c>
      <c r="AV6" s="3">
        <f t="shared" si="2"/>
        <v>43.481000000000002</v>
      </c>
      <c r="AW6" s="3" t="s">
        <v>57</v>
      </c>
      <c r="AX6" s="3">
        <f>AV6</f>
        <v>43.481000000000002</v>
      </c>
      <c r="AY6" s="3">
        <f t="shared" si="3"/>
        <v>15.241</v>
      </c>
      <c r="AZ6" s="3">
        <f t="shared" si="4"/>
        <v>2.3450000000000002</v>
      </c>
      <c r="BA6" s="3">
        <f t="shared" si="5"/>
        <v>11.474</v>
      </c>
      <c r="BB6" s="7">
        <f>(AX6+AY6+AZ6+BA6)*Q6</f>
        <v>0</v>
      </c>
      <c r="BC6" s="18">
        <f t="shared" si="6"/>
        <v>7.7263419099999995</v>
      </c>
      <c r="BD6" s="18">
        <f t="shared" si="9"/>
        <v>72.540999999999997</v>
      </c>
      <c r="BE6" s="18">
        <f>SUM(AX6+AY6+AZ6+BA6+BB6-BC6)</f>
        <v>64.814658089999995</v>
      </c>
      <c r="BF6" s="18"/>
      <c r="BG6" s="18"/>
      <c r="BH6" s="18"/>
      <c r="BI6" s="18"/>
      <c r="BJ6" s="3" t="s">
        <v>50</v>
      </c>
      <c r="BK6" s="3" t="s">
        <v>50</v>
      </c>
      <c r="BL6" s="3" t="s">
        <v>50</v>
      </c>
      <c r="BM6" s="3" t="s">
        <v>50</v>
      </c>
    </row>
    <row r="7" spans="1:65" x14ac:dyDescent="0.3">
      <c r="A7" s="13">
        <v>6</v>
      </c>
      <c r="B7" s="13" t="s">
        <v>69</v>
      </c>
      <c r="C7" s="3" t="s">
        <v>66</v>
      </c>
      <c r="D7" s="3" t="s">
        <v>67</v>
      </c>
      <c r="E7" s="4">
        <v>100</v>
      </c>
      <c r="F7" s="3">
        <v>6.13</v>
      </c>
      <c r="G7" s="3" t="s">
        <v>51</v>
      </c>
      <c r="H7" s="3" t="s">
        <v>52</v>
      </c>
      <c r="I7" s="3">
        <v>2</v>
      </c>
      <c r="J7" s="3">
        <v>2</v>
      </c>
      <c r="K7" s="3">
        <v>2</v>
      </c>
      <c r="L7" s="3" t="s">
        <v>51</v>
      </c>
      <c r="M7" s="3" t="s">
        <v>51</v>
      </c>
      <c r="N7" s="3" t="s">
        <v>53</v>
      </c>
      <c r="O7" s="3" t="s">
        <v>54</v>
      </c>
      <c r="P7" s="3" t="s">
        <v>50</v>
      </c>
      <c r="Q7" s="5">
        <v>6.6500000000000004E-2</v>
      </c>
      <c r="R7" s="3" t="s">
        <v>55</v>
      </c>
      <c r="S7" s="3"/>
      <c r="T7" s="3" t="s">
        <v>51</v>
      </c>
      <c r="U7" s="3" t="s">
        <v>51</v>
      </c>
      <c r="V7" s="3" t="s">
        <v>53</v>
      </c>
      <c r="W7" s="3">
        <v>6.65</v>
      </c>
      <c r="X7" s="3">
        <v>6.33</v>
      </c>
      <c r="Y7" s="3">
        <v>0</v>
      </c>
      <c r="Z7" s="3">
        <v>4.66</v>
      </c>
      <c r="AA7" s="3">
        <v>12.65</v>
      </c>
      <c r="AB7" s="5">
        <v>0.36649999999999999</v>
      </c>
      <c r="AC7" s="3" t="s">
        <v>56</v>
      </c>
      <c r="AD7" s="3" t="s">
        <v>73</v>
      </c>
      <c r="AE7" s="3" t="s">
        <v>53</v>
      </c>
      <c r="AF7" s="3">
        <v>0</v>
      </c>
      <c r="AG7" s="13" t="s">
        <v>75</v>
      </c>
      <c r="AH7" s="13" t="s">
        <v>74</v>
      </c>
      <c r="AI7" s="9">
        <f>Z7</f>
        <v>4.66</v>
      </c>
      <c r="AJ7" s="9">
        <v>1</v>
      </c>
      <c r="AK7" s="9">
        <v>2</v>
      </c>
      <c r="AL7" s="9">
        <v>3.65</v>
      </c>
      <c r="AM7" s="9">
        <v>9.51</v>
      </c>
      <c r="AN7" s="9">
        <v>7.98</v>
      </c>
      <c r="AO7" s="9">
        <v>6.86</v>
      </c>
      <c r="AP7" s="9">
        <f t="shared" si="12"/>
        <v>28</v>
      </c>
      <c r="AQ7" s="9">
        <f>(AI7)+(AL7*AK7)+(AM7*AK7)+(AN7*AK7)+(AO7*AK7)</f>
        <v>60.66</v>
      </c>
      <c r="AR7" s="3">
        <f>AQ7/AK7</f>
        <v>30.33</v>
      </c>
      <c r="AS7" s="3">
        <f t="shared" si="11"/>
        <v>60.66</v>
      </c>
      <c r="AT7" s="3">
        <f t="shared" si="7"/>
        <v>2</v>
      </c>
      <c r="AU7" s="3">
        <f t="shared" si="1"/>
        <v>30.33</v>
      </c>
      <c r="AV7" s="3">
        <f t="shared" si="2"/>
        <v>60.66</v>
      </c>
      <c r="AW7" s="3" t="s">
        <v>57</v>
      </c>
      <c r="AX7" s="3">
        <f t="shared" ref="AX7:AX9" si="14">AV7</f>
        <v>60.66</v>
      </c>
      <c r="AY7" s="3">
        <f t="shared" si="3"/>
        <v>25.3</v>
      </c>
      <c r="AZ7" s="3">
        <f t="shared" si="4"/>
        <v>6.13</v>
      </c>
      <c r="BA7" s="3">
        <f t="shared" si="5"/>
        <v>12.98</v>
      </c>
      <c r="BB7" s="7">
        <f>(AX7+AZ7+BA7)*Q7</f>
        <v>5.3047050000000002</v>
      </c>
      <c r="BC7" s="7">
        <f t="shared" si="6"/>
        <v>40.452329382499997</v>
      </c>
      <c r="BD7" s="7">
        <f t="shared" si="9"/>
        <v>110.37470499999999</v>
      </c>
      <c r="BE7" s="7">
        <f t="shared" ref="BE7:BE9" si="15">SUM(AX7+AY7+AZ7+BA7+BB7-BC7)</f>
        <v>69.922375617499995</v>
      </c>
      <c r="BF7" s="7"/>
      <c r="BG7" s="7"/>
      <c r="BH7" s="7"/>
      <c r="BI7" s="7"/>
      <c r="BJ7" s="3" t="s">
        <v>50</v>
      </c>
      <c r="BK7" s="3" t="s">
        <v>50</v>
      </c>
      <c r="BL7" s="3" t="s">
        <v>50</v>
      </c>
      <c r="BM7" s="3" t="s">
        <v>50</v>
      </c>
    </row>
    <row r="8" spans="1:65" x14ac:dyDescent="0.3">
      <c r="A8" s="13">
        <v>7</v>
      </c>
      <c r="B8" s="13" t="s">
        <v>69</v>
      </c>
      <c r="C8" s="3" t="s">
        <v>66</v>
      </c>
      <c r="D8" s="3" t="s">
        <v>49</v>
      </c>
      <c r="E8" s="4" t="s">
        <v>50</v>
      </c>
      <c r="F8" s="3">
        <v>6.6510999999999996</v>
      </c>
      <c r="G8" s="3" t="s">
        <v>51</v>
      </c>
      <c r="H8" s="3" t="s">
        <v>52</v>
      </c>
      <c r="I8" s="3">
        <v>4</v>
      </c>
      <c r="J8" s="3">
        <v>4</v>
      </c>
      <c r="K8" s="3">
        <v>4</v>
      </c>
      <c r="L8" s="3" t="s">
        <v>53</v>
      </c>
      <c r="M8" s="3" t="s">
        <v>53</v>
      </c>
      <c r="N8" s="3" t="s">
        <v>51</v>
      </c>
      <c r="O8" s="3" t="s">
        <v>54</v>
      </c>
      <c r="P8" s="3" t="s">
        <v>50</v>
      </c>
      <c r="Q8" s="11">
        <v>9.6565999999999999E-2</v>
      </c>
      <c r="R8" s="3" t="s">
        <v>78</v>
      </c>
      <c r="S8" s="3"/>
      <c r="T8" s="3" t="s">
        <v>51</v>
      </c>
      <c r="U8" s="3" t="s">
        <v>51</v>
      </c>
      <c r="V8" s="3" t="s">
        <v>53</v>
      </c>
      <c r="W8" s="3">
        <v>4</v>
      </c>
      <c r="X8" s="3">
        <v>8</v>
      </c>
      <c r="Y8" s="3">
        <v>0</v>
      </c>
      <c r="Z8" s="3">
        <v>8.3132999999999999</v>
      </c>
      <c r="AA8" s="3">
        <v>16.654800000000002</v>
      </c>
      <c r="AB8" s="6">
        <v>0</v>
      </c>
      <c r="AC8" s="3" t="s">
        <v>56</v>
      </c>
      <c r="AD8" s="3" t="s">
        <v>73</v>
      </c>
      <c r="AE8" s="3" t="s">
        <v>53</v>
      </c>
      <c r="AF8" s="3">
        <v>0</v>
      </c>
      <c r="AG8" s="13" t="s">
        <v>75</v>
      </c>
      <c r="AH8" s="13" t="s">
        <v>75</v>
      </c>
      <c r="AI8" s="9">
        <f>Z8</f>
        <v>8.3132999999999999</v>
      </c>
      <c r="AJ8" s="9">
        <v>4</v>
      </c>
      <c r="AK8" s="9">
        <v>3</v>
      </c>
      <c r="AL8" s="9">
        <v>9.5616000000000003</v>
      </c>
      <c r="AM8" s="9">
        <v>6.9848999999999997</v>
      </c>
      <c r="AN8" s="9">
        <v>9.6516000000000002</v>
      </c>
      <c r="AO8" s="9">
        <v>7.8625999999999996</v>
      </c>
      <c r="AP8" s="9">
        <f t="shared" si="12"/>
        <v>34.060700000000004</v>
      </c>
      <c r="AQ8" s="14">
        <f>AI8+AP8</f>
        <v>42.374000000000002</v>
      </c>
      <c r="AR8" s="14">
        <f>AQ8/AK8</f>
        <v>14.124666666666668</v>
      </c>
      <c r="AS8" s="17">
        <f t="shared" si="11"/>
        <v>42.374000000000002</v>
      </c>
      <c r="AT8" s="3">
        <f t="shared" si="7"/>
        <v>3</v>
      </c>
      <c r="AU8" s="14">
        <f t="shared" si="1"/>
        <v>14.124666666666668</v>
      </c>
      <c r="AV8" s="14">
        <f t="shared" si="2"/>
        <v>42.374000000000002</v>
      </c>
      <c r="AW8" s="3" t="s">
        <v>57</v>
      </c>
      <c r="AX8" s="14">
        <f t="shared" si="14"/>
        <v>42.374000000000002</v>
      </c>
      <c r="AY8" s="14">
        <f t="shared" si="3"/>
        <v>49.964400000000005</v>
      </c>
      <c r="AZ8" s="3">
        <f t="shared" si="4"/>
        <v>6.6510999999999996</v>
      </c>
      <c r="BA8" s="3">
        <f t="shared" si="5"/>
        <v>12</v>
      </c>
      <c r="BB8" s="17">
        <f t="shared" ref="BB8:BB17" si="16">(AX8+AY8+AZ8+BA8)*Q8</f>
        <v>10.717812057</v>
      </c>
      <c r="BC8" s="3">
        <f t="shared" si="6"/>
        <v>0</v>
      </c>
      <c r="BD8" s="17">
        <f t="shared" si="9"/>
        <v>121.70731205700001</v>
      </c>
      <c r="BE8" s="17">
        <f t="shared" si="15"/>
        <v>121.70731205700001</v>
      </c>
      <c r="BF8" s="17"/>
      <c r="BG8" s="17"/>
      <c r="BH8" s="17"/>
      <c r="BI8" s="17"/>
      <c r="BJ8" s="3" t="s">
        <v>50</v>
      </c>
      <c r="BK8" s="3" t="s">
        <v>50</v>
      </c>
      <c r="BL8" s="3" t="s">
        <v>50</v>
      </c>
      <c r="BM8" s="3" t="s">
        <v>50</v>
      </c>
    </row>
    <row r="9" spans="1:65" x14ac:dyDescent="0.3">
      <c r="A9" s="13">
        <v>8</v>
      </c>
      <c r="B9" s="13" t="s">
        <v>69</v>
      </c>
      <c r="C9" s="3" t="s">
        <v>66</v>
      </c>
      <c r="D9" s="3" t="s">
        <v>67</v>
      </c>
      <c r="E9" s="4">
        <v>100</v>
      </c>
      <c r="F9" s="3">
        <v>7.984</v>
      </c>
      <c r="G9" s="3" t="s">
        <v>53</v>
      </c>
      <c r="H9" s="3" t="s">
        <v>50</v>
      </c>
      <c r="I9" s="3">
        <v>3</v>
      </c>
      <c r="J9" s="3">
        <v>3</v>
      </c>
      <c r="K9" s="3">
        <v>3</v>
      </c>
      <c r="L9" s="3" t="s">
        <v>53</v>
      </c>
      <c r="M9" s="3" t="s">
        <v>53</v>
      </c>
      <c r="N9" s="3" t="s">
        <v>51</v>
      </c>
      <c r="O9" s="3" t="s">
        <v>54</v>
      </c>
      <c r="P9" s="3" t="s">
        <v>50</v>
      </c>
      <c r="Q9" s="10">
        <v>0</v>
      </c>
      <c r="R9" s="3" t="s">
        <v>55</v>
      </c>
      <c r="S9" s="3"/>
      <c r="T9" s="3" t="s">
        <v>51</v>
      </c>
      <c r="U9" s="3" t="s">
        <v>51</v>
      </c>
      <c r="V9" s="3" t="s">
        <v>53</v>
      </c>
      <c r="W9" s="3">
        <v>6.6509999999999998</v>
      </c>
      <c r="X9" s="3">
        <v>4.6509999999999998</v>
      </c>
      <c r="Y9" s="3">
        <v>6.9870000000000001</v>
      </c>
      <c r="Z9" s="3">
        <v>0</v>
      </c>
      <c r="AA9" s="3">
        <v>9.6509999999999998</v>
      </c>
      <c r="AB9" s="6">
        <v>0</v>
      </c>
      <c r="AC9" s="3" t="s">
        <v>56</v>
      </c>
      <c r="AD9" s="3" t="s">
        <v>73</v>
      </c>
      <c r="AE9" s="3" t="s">
        <v>53</v>
      </c>
      <c r="AF9" s="3">
        <v>0</v>
      </c>
      <c r="AG9" s="13" t="s">
        <v>74</v>
      </c>
      <c r="AH9" s="13" t="s">
        <v>75</v>
      </c>
      <c r="AI9" s="9">
        <f>Y9</f>
        <v>6.9870000000000001</v>
      </c>
      <c r="AJ9" s="9">
        <v>4</v>
      </c>
      <c r="AK9" s="9">
        <v>4</v>
      </c>
      <c r="AL9" s="9">
        <v>12.615</v>
      </c>
      <c r="AM9" s="9">
        <v>9.6509999999999998</v>
      </c>
      <c r="AN9" s="9">
        <v>7.6509999999999998</v>
      </c>
      <c r="AO9" s="9">
        <v>8.6509999999999998</v>
      </c>
      <c r="AP9" s="9">
        <f t="shared" si="12"/>
        <v>38.567999999999998</v>
      </c>
      <c r="AQ9" s="15">
        <f>(AI9*AJ9*AK9)+AP9</f>
        <v>150.36000000000001</v>
      </c>
      <c r="AR9" s="15">
        <f>AQ9/AK9</f>
        <v>37.590000000000003</v>
      </c>
      <c r="AS9" s="3">
        <f t="shared" si="11"/>
        <v>150.36000000000001</v>
      </c>
      <c r="AT9" s="3">
        <f t="shared" si="7"/>
        <v>4</v>
      </c>
      <c r="AU9" s="15">
        <f t="shared" si="1"/>
        <v>37.590000000000003</v>
      </c>
      <c r="AV9" s="15">
        <f t="shared" si="2"/>
        <v>150.36000000000001</v>
      </c>
      <c r="AW9" s="3" t="s">
        <v>57</v>
      </c>
      <c r="AX9" s="15">
        <f t="shared" si="14"/>
        <v>150.36000000000001</v>
      </c>
      <c r="AY9" s="15">
        <f t="shared" si="3"/>
        <v>38.603999999999999</v>
      </c>
      <c r="AZ9" s="3">
        <f t="shared" si="4"/>
        <v>7.984</v>
      </c>
      <c r="BA9" s="3">
        <f t="shared" si="5"/>
        <v>11.302</v>
      </c>
      <c r="BB9" s="15">
        <f t="shared" si="16"/>
        <v>0</v>
      </c>
      <c r="BC9" s="15">
        <f t="shared" si="6"/>
        <v>0</v>
      </c>
      <c r="BD9" s="18">
        <f t="shared" si="9"/>
        <v>208.25</v>
      </c>
      <c r="BE9" s="15">
        <f t="shared" si="15"/>
        <v>208.25</v>
      </c>
      <c r="BF9" s="15"/>
      <c r="BG9" s="15"/>
      <c r="BH9" s="15"/>
      <c r="BI9" s="15"/>
      <c r="BJ9" s="3" t="s">
        <v>50</v>
      </c>
      <c r="BK9" s="3" t="s">
        <v>50</v>
      </c>
      <c r="BL9" s="3" t="s">
        <v>50</v>
      </c>
      <c r="BM9" s="3" t="s">
        <v>50</v>
      </c>
    </row>
    <row r="10" spans="1:65" x14ac:dyDescent="0.3">
      <c r="A10" s="13">
        <v>9</v>
      </c>
      <c r="B10" s="13" t="s">
        <v>70</v>
      </c>
      <c r="C10" s="3" t="s">
        <v>66</v>
      </c>
      <c r="D10" s="3" t="s">
        <v>49</v>
      </c>
      <c r="E10" s="4" t="s">
        <v>50</v>
      </c>
      <c r="F10" s="3">
        <v>9.6539999999999999</v>
      </c>
      <c r="G10" s="3" t="s">
        <v>51</v>
      </c>
      <c r="H10" s="3" t="s">
        <v>52</v>
      </c>
      <c r="I10" s="3">
        <v>3</v>
      </c>
      <c r="J10" s="3">
        <v>3</v>
      </c>
      <c r="K10" s="3">
        <v>3</v>
      </c>
      <c r="L10" s="3" t="s">
        <v>51</v>
      </c>
      <c r="M10" s="3" t="s">
        <v>51</v>
      </c>
      <c r="N10" s="3" t="s">
        <v>51</v>
      </c>
      <c r="O10" s="3" t="s">
        <v>54</v>
      </c>
      <c r="P10" s="3" t="s">
        <v>50</v>
      </c>
      <c r="Q10" s="10">
        <v>0.10567</v>
      </c>
      <c r="R10" s="3" t="s">
        <v>79</v>
      </c>
      <c r="S10" s="3"/>
      <c r="T10" s="3" t="s">
        <v>51</v>
      </c>
      <c r="U10" s="3" t="s">
        <v>51</v>
      </c>
      <c r="V10" s="3" t="s">
        <v>53</v>
      </c>
      <c r="W10" s="3">
        <v>6.1559999999999997</v>
      </c>
      <c r="X10" s="3">
        <v>9.6509999999999998</v>
      </c>
      <c r="Y10" s="3">
        <v>9.6509999999999998</v>
      </c>
      <c r="Z10" s="3">
        <v>0</v>
      </c>
      <c r="AA10" s="3">
        <v>12.651</v>
      </c>
      <c r="AB10" s="10">
        <v>0.12545000000000001</v>
      </c>
      <c r="AC10" s="3" t="s">
        <v>51</v>
      </c>
      <c r="AD10" s="3" t="s">
        <v>73</v>
      </c>
      <c r="AE10" s="3" t="s">
        <v>53</v>
      </c>
      <c r="AF10" s="3">
        <v>0</v>
      </c>
      <c r="AG10" s="13" t="s">
        <v>74</v>
      </c>
      <c r="AH10" s="13" t="s">
        <v>74</v>
      </c>
      <c r="AI10" s="9">
        <f>Y10</f>
        <v>9.6509999999999998</v>
      </c>
      <c r="AJ10" s="9">
        <v>4</v>
      </c>
      <c r="AK10" s="9">
        <v>1</v>
      </c>
      <c r="AL10" s="9">
        <v>11.384</v>
      </c>
      <c r="AM10" s="9">
        <v>13.925000000000001</v>
      </c>
      <c r="AN10" s="9">
        <v>15.731999999999999</v>
      </c>
      <c r="AO10" s="9">
        <v>17.186</v>
      </c>
      <c r="AP10" s="9">
        <f t="shared" ref="AP10:AP17" si="17">SUM(AL10+AM10+AN10+AO10)</f>
        <v>58.226999999999997</v>
      </c>
      <c r="AQ10" s="9">
        <f>(AI10*AK10)+(AL10*AJ10*AK10)+(AM10*AJ10*AK10)+(AN10*AJ10*AK10)+(AO10*AJ10*AK10)</f>
        <v>242.559</v>
      </c>
      <c r="AR10" s="3">
        <f t="shared" ref="AR10:AR13" si="18">AQ10</f>
        <v>242.559</v>
      </c>
      <c r="AS10" s="3">
        <f t="shared" si="11"/>
        <v>242.559</v>
      </c>
      <c r="AT10" s="3">
        <f t="shared" si="7"/>
        <v>1</v>
      </c>
      <c r="AU10" s="3">
        <f t="shared" si="1"/>
        <v>242.559</v>
      </c>
      <c r="AV10" s="3">
        <f t="shared" si="2"/>
        <v>242.559</v>
      </c>
      <c r="AW10" s="3" t="s">
        <v>57</v>
      </c>
      <c r="AX10" s="3">
        <f>AV10</f>
        <v>242.559</v>
      </c>
      <c r="AY10" s="3">
        <f t="shared" si="3"/>
        <v>12.651</v>
      </c>
      <c r="AZ10" s="3">
        <f t="shared" si="4"/>
        <v>9.6539999999999999</v>
      </c>
      <c r="BA10" s="3">
        <f t="shared" si="5"/>
        <v>15.806999999999999</v>
      </c>
      <c r="BB10" s="18">
        <f t="shared" si="16"/>
        <v>29.658504570000005</v>
      </c>
      <c r="BC10" s="18">
        <f t="shared" si="6"/>
        <v>38.930836348306507</v>
      </c>
      <c r="BD10" s="18">
        <f t="shared" si="9"/>
        <v>310.32950457000004</v>
      </c>
      <c r="BE10" s="18">
        <f>SUM(AX10+AY10+AZ10+BA10+BB10-BC10)</f>
        <v>271.39866822169353</v>
      </c>
      <c r="BF10" s="18"/>
      <c r="BG10" s="18"/>
      <c r="BH10" s="18"/>
      <c r="BI10" s="18"/>
      <c r="BJ10" s="3" t="s">
        <v>50</v>
      </c>
      <c r="BK10" s="3" t="s">
        <v>50</v>
      </c>
      <c r="BL10" s="3" t="s">
        <v>50</v>
      </c>
      <c r="BM10" s="3" t="s">
        <v>50</v>
      </c>
    </row>
    <row r="11" spans="1:65" x14ac:dyDescent="0.3">
      <c r="A11" s="13">
        <v>10</v>
      </c>
      <c r="B11" s="13" t="s">
        <v>70</v>
      </c>
      <c r="C11" s="3" t="s">
        <v>66</v>
      </c>
      <c r="D11" s="3" t="s">
        <v>67</v>
      </c>
      <c r="E11" s="4">
        <v>100</v>
      </c>
      <c r="F11" s="3">
        <v>4.12</v>
      </c>
      <c r="G11" s="3" t="s">
        <v>53</v>
      </c>
      <c r="H11" s="3" t="s">
        <v>50</v>
      </c>
      <c r="I11" s="3">
        <v>2</v>
      </c>
      <c r="J11" s="3">
        <v>2</v>
      </c>
      <c r="K11" s="3">
        <v>2</v>
      </c>
      <c r="L11" s="3" t="s">
        <v>51</v>
      </c>
      <c r="M11" s="3" t="s">
        <v>51</v>
      </c>
      <c r="N11" s="3" t="s">
        <v>51</v>
      </c>
      <c r="O11" s="3" t="s">
        <v>54</v>
      </c>
      <c r="P11" s="3" t="s">
        <v>50</v>
      </c>
      <c r="Q11" s="5">
        <v>0</v>
      </c>
      <c r="R11" s="3" t="s">
        <v>55</v>
      </c>
      <c r="S11" s="3"/>
      <c r="T11" s="3" t="s">
        <v>51</v>
      </c>
      <c r="U11" s="3" t="s">
        <v>51</v>
      </c>
      <c r="V11" s="3" t="s">
        <v>53</v>
      </c>
      <c r="W11" s="3">
        <v>7.98</v>
      </c>
      <c r="X11" s="3">
        <v>4.6500000000000004</v>
      </c>
      <c r="Y11" s="3">
        <v>0</v>
      </c>
      <c r="Z11" s="3">
        <v>6.16</v>
      </c>
      <c r="AA11" s="3">
        <v>3.65</v>
      </c>
      <c r="AB11" s="5">
        <v>0.1045</v>
      </c>
      <c r="AC11" s="3" t="s">
        <v>56</v>
      </c>
      <c r="AD11" s="3" t="s">
        <v>73</v>
      </c>
      <c r="AE11" s="3" t="s">
        <v>53</v>
      </c>
      <c r="AF11" s="3">
        <v>0</v>
      </c>
      <c r="AG11" s="13" t="s">
        <v>75</v>
      </c>
      <c r="AH11" s="13" t="s">
        <v>74</v>
      </c>
      <c r="AI11" s="9">
        <f>Z11</f>
        <v>6.16</v>
      </c>
      <c r="AJ11" s="9">
        <v>3</v>
      </c>
      <c r="AK11" s="9">
        <v>2</v>
      </c>
      <c r="AL11" s="9">
        <v>14.56</v>
      </c>
      <c r="AM11" s="9">
        <v>16.170000000000002</v>
      </c>
      <c r="AN11" s="9">
        <v>18.29</v>
      </c>
      <c r="AO11" s="9">
        <v>10.98</v>
      </c>
      <c r="AP11" s="9">
        <f t="shared" si="17"/>
        <v>60</v>
      </c>
      <c r="AQ11" s="9">
        <f>(AI11)+(AL11*AJ11*AK11)+(AM11*AJ11*AK11)+(AN11*AJ11*AK11)+(AO11*AJ11*AK11)</f>
        <v>366.16</v>
      </c>
      <c r="AR11" s="3">
        <f t="shared" si="18"/>
        <v>366.16</v>
      </c>
      <c r="AS11" s="3">
        <f t="shared" si="11"/>
        <v>366.16</v>
      </c>
      <c r="AT11" s="3">
        <f t="shared" si="7"/>
        <v>2</v>
      </c>
      <c r="AU11" s="3">
        <f t="shared" si="1"/>
        <v>366.16</v>
      </c>
      <c r="AV11" s="3">
        <f t="shared" si="2"/>
        <v>366.16</v>
      </c>
      <c r="AW11" s="3" t="s">
        <v>57</v>
      </c>
      <c r="AX11" s="3">
        <f t="shared" ref="AX11:AX13" si="19">AV11</f>
        <v>366.16</v>
      </c>
      <c r="AY11" s="3">
        <f t="shared" si="3"/>
        <v>7.3</v>
      </c>
      <c r="AZ11" s="3">
        <f t="shared" si="4"/>
        <v>4.12</v>
      </c>
      <c r="BA11" s="3">
        <f t="shared" si="5"/>
        <v>12.63</v>
      </c>
      <c r="BB11" s="7">
        <f t="shared" si="16"/>
        <v>0</v>
      </c>
      <c r="BC11" s="7">
        <f t="shared" si="6"/>
        <v>40.776945000000005</v>
      </c>
      <c r="BD11" s="7">
        <f t="shared" si="9"/>
        <v>390.21000000000004</v>
      </c>
      <c r="BE11" s="7">
        <f t="shared" ref="BE11:BE13" si="20">SUM(AX11+AY11+AZ11+BA11+BB11-BC11)</f>
        <v>349.43305500000002</v>
      </c>
      <c r="BF11" s="7"/>
      <c r="BG11" s="7"/>
      <c r="BH11" s="7"/>
      <c r="BI11" s="7"/>
      <c r="BJ11" s="3" t="s">
        <v>50</v>
      </c>
      <c r="BK11" s="3" t="s">
        <v>50</v>
      </c>
      <c r="BL11" s="3" t="s">
        <v>50</v>
      </c>
      <c r="BM11" s="3" t="s">
        <v>50</v>
      </c>
    </row>
    <row r="12" spans="1:65" x14ac:dyDescent="0.3">
      <c r="A12" s="13">
        <v>11</v>
      </c>
      <c r="B12" s="13" t="s">
        <v>70</v>
      </c>
      <c r="C12" s="3" t="s">
        <v>66</v>
      </c>
      <c r="D12" s="3" t="s">
        <v>49</v>
      </c>
      <c r="E12" s="4" t="s">
        <v>50</v>
      </c>
      <c r="F12" s="3">
        <v>6.6155999999999997</v>
      </c>
      <c r="G12" s="3" t="s">
        <v>51</v>
      </c>
      <c r="H12" s="3" t="s">
        <v>52</v>
      </c>
      <c r="I12" s="3">
        <v>4</v>
      </c>
      <c r="J12" s="3">
        <v>4</v>
      </c>
      <c r="K12" s="3">
        <v>4</v>
      </c>
      <c r="L12" s="3" t="s">
        <v>53</v>
      </c>
      <c r="M12" s="3" t="s">
        <v>53</v>
      </c>
      <c r="N12" s="3" t="s">
        <v>51</v>
      </c>
      <c r="O12" s="3" t="s">
        <v>54</v>
      </c>
      <c r="P12" s="3" t="s">
        <v>50</v>
      </c>
      <c r="Q12" s="11">
        <v>0.129136</v>
      </c>
      <c r="R12" s="3" t="s">
        <v>78</v>
      </c>
      <c r="S12" s="3"/>
      <c r="T12" s="3" t="s">
        <v>51</v>
      </c>
      <c r="U12" s="3" t="s">
        <v>51</v>
      </c>
      <c r="V12" s="3" t="s">
        <v>53</v>
      </c>
      <c r="W12" s="3">
        <v>6</v>
      </c>
      <c r="X12" s="3">
        <v>6</v>
      </c>
      <c r="Y12" s="3">
        <v>0</v>
      </c>
      <c r="Z12" s="3">
        <v>7.6516000000000002</v>
      </c>
      <c r="AA12" s="3">
        <v>12.6511</v>
      </c>
      <c r="AB12" s="6">
        <v>0</v>
      </c>
      <c r="AC12" s="3" t="s">
        <v>56</v>
      </c>
      <c r="AD12" s="3" t="s">
        <v>73</v>
      </c>
      <c r="AE12" s="3" t="s">
        <v>53</v>
      </c>
      <c r="AF12" s="3">
        <v>0</v>
      </c>
      <c r="AG12" s="13" t="s">
        <v>75</v>
      </c>
      <c r="AH12" s="13" t="s">
        <v>75</v>
      </c>
      <c r="AI12" s="9">
        <f>Z12</f>
        <v>7.6516000000000002</v>
      </c>
      <c r="AJ12" s="9">
        <v>2</v>
      </c>
      <c r="AK12" s="9">
        <v>3</v>
      </c>
      <c r="AL12" s="9">
        <v>13.846500000000001</v>
      </c>
      <c r="AM12" s="9">
        <v>15.238899999999999</v>
      </c>
      <c r="AN12" s="9">
        <v>11.0532</v>
      </c>
      <c r="AO12" s="9">
        <v>9.4727999999999994</v>
      </c>
      <c r="AP12" s="9">
        <f t="shared" si="17"/>
        <v>49.611399999999996</v>
      </c>
      <c r="AQ12" s="14">
        <f>AI12+AP12</f>
        <v>57.262999999999998</v>
      </c>
      <c r="AR12" s="14">
        <f>AQ12/AK12</f>
        <v>19.087666666666667</v>
      </c>
      <c r="AS12" s="3">
        <f t="shared" si="11"/>
        <v>57.262999999999998</v>
      </c>
      <c r="AT12" s="3">
        <f t="shared" si="7"/>
        <v>3</v>
      </c>
      <c r="AU12" s="14">
        <f t="shared" si="1"/>
        <v>19.087666666666667</v>
      </c>
      <c r="AV12" s="14">
        <f t="shared" si="2"/>
        <v>57.262999999999998</v>
      </c>
      <c r="AW12" s="3" t="s">
        <v>57</v>
      </c>
      <c r="AX12" s="14">
        <f t="shared" si="19"/>
        <v>57.262999999999998</v>
      </c>
      <c r="AY12" s="14">
        <f t="shared" si="3"/>
        <v>37.953299999999999</v>
      </c>
      <c r="AZ12" s="3">
        <f t="shared" si="4"/>
        <v>6.6155999999999997</v>
      </c>
      <c r="BA12" s="14">
        <f t="shared" si="5"/>
        <v>12</v>
      </c>
      <c r="BB12" s="14">
        <f t="shared" si="16"/>
        <v>14.699796238399999</v>
      </c>
      <c r="BC12" s="3">
        <f t="shared" si="6"/>
        <v>0</v>
      </c>
      <c r="BD12" s="17">
        <f t="shared" si="9"/>
        <v>128.5316962384</v>
      </c>
      <c r="BE12" s="3">
        <f t="shared" si="20"/>
        <v>128.5316962384</v>
      </c>
      <c r="BF12" s="3"/>
      <c r="BG12" s="3"/>
      <c r="BH12" s="3"/>
      <c r="BI12" s="3"/>
      <c r="BJ12" s="3" t="s">
        <v>50</v>
      </c>
      <c r="BK12" s="3" t="s">
        <v>50</v>
      </c>
      <c r="BL12" s="3" t="s">
        <v>50</v>
      </c>
      <c r="BM12" s="3" t="s">
        <v>50</v>
      </c>
    </row>
    <row r="13" spans="1:65" x14ac:dyDescent="0.3">
      <c r="A13" s="13">
        <v>12</v>
      </c>
      <c r="B13" s="13" t="s">
        <v>70</v>
      </c>
      <c r="C13" s="3" t="s">
        <v>66</v>
      </c>
      <c r="D13" s="3" t="s">
        <v>67</v>
      </c>
      <c r="E13" s="4">
        <v>100</v>
      </c>
      <c r="F13" s="3">
        <v>0</v>
      </c>
      <c r="G13" s="3" t="s">
        <v>53</v>
      </c>
      <c r="H13" s="3" t="s">
        <v>50</v>
      </c>
      <c r="I13" s="3">
        <v>3</v>
      </c>
      <c r="J13" s="3">
        <v>3</v>
      </c>
      <c r="K13" s="3">
        <v>3</v>
      </c>
      <c r="L13" s="3" t="s">
        <v>53</v>
      </c>
      <c r="M13" s="3" t="s">
        <v>53</v>
      </c>
      <c r="N13" s="3" t="s">
        <v>51</v>
      </c>
      <c r="O13" s="3" t="s">
        <v>54</v>
      </c>
      <c r="P13" s="3" t="s">
        <v>50</v>
      </c>
      <c r="Q13" s="10">
        <v>0</v>
      </c>
      <c r="R13" s="3" t="s">
        <v>55</v>
      </c>
      <c r="S13" s="3"/>
      <c r="T13" s="3" t="s">
        <v>51</v>
      </c>
      <c r="U13" s="3" t="s">
        <v>51</v>
      </c>
      <c r="V13" s="3" t="s">
        <v>53</v>
      </c>
      <c r="W13" s="3">
        <v>6.4560000000000004</v>
      </c>
      <c r="X13" s="3">
        <v>1.2270000000000001</v>
      </c>
      <c r="Y13" s="3">
        <v>9.516</v>
      </c>
      <c r="Z13" s="3">
        <v>0</v>
      </c>
      <c r="AA13" s="3">
        <v>9.6509999999999998</v>
      </c>
      <c r="AB13" s="6">
        <v>0</v>
      </c>
      <c r="AC13" s="3" t="s">
        <v>56</v>
      </c>
      <c r="AD13" s="3" t="s">
        <v>73</v>
      </c>
      <c r="AE13" s="3" t="s">
        <v>53</v>
      </c>
      <c r="AF13" s="3">
        <v>0</v>
      </c>
      <c r="AG13" s="13" t="s">
        <v>74</v>
      </c>
      <c r="AH13" s="13" t="s">
        <v>75</v>
      </c>
      <c r="AI13" s="9">
        <f>Y13</f>
        <v>9.516</v>
      </c>
      <c r="AJ13" s="9">
        <v>3</v>
      </c>
      <c r="AK13" s="9">
        <v>4</v>
      </c>
      <c r="AL13" s="9">
        <v>9.8160000000000007</v>
      </c>
      <c r="AM13" s="9">
        <v>7.2539999999999996</v>
      </c>
      <c r="AN13" s="9">
        <v>4.8319999999999999</v>
      </c>
      <c r="AO13" s="9">
        <v>8.3970000000000002</v>
      </c>
      <c r="AP13" s="9">
        <f t="shared" si="17"/>
        <v>30.298999999999999</v>
      </c>
      <c r="AQ13" s="9">
        <f>(AI13*AK13)+AP13</f>
        <v>68.363</v>
      </c>
      <c r="AR13" s="3">
        <f t="shared" si="18"/>
        <v>68.363</v>
      </c>
      <c r="AS13" s="3">
        <f t="shared" si="11"/>
        <v>68.363</v>
      </c>
      <c r="AT13" s="3">
        <f t="shared" si="7"/>
        <v>4</v>
      </c>
      <c r="AU13" s="3">
        <f t="shared" si="1"/>
        <v>68.363</v>
      </c>
      <c r="AV13" s="3">
        <f t="shared" si="2"/>
        <v>68.363</v>
      </c>
      <c r="AW13" s="3" t="s">
        <v>57</v>
      </c>
      <c r="AX13" s="3">
        <f t="shared" si="19"/>
        <v>68.363</v>
      </c>
      <c r="AY13" s="3">
        <f t="shared" si="3"/>
        <v>38.603999999999999</v>
      </c>
      <c r="AZ13" s="3">
        <f t="shared" si="4"/>
        <v>0</v>
      </c>
      <c r="BA13" s="3">
        <f t="shared" si="5"/>
        <v>7.6830000000000007</v>
      </c>
      <c r="BB13" s="7">
        <f t="shared" si="16"/>
        <v>0</v>
      </c>
      <c r="BC13" s="7">
        <f t="shared" si="6"/>
        <v>0</v>
      </c>
      <c r="BD13" s="18">
        <f t="shared" si="9"/>
        <v>114.65</v>
      </c>
      <c r="BE13" s="7">
        <f t="shared" si="20"/>
        <v>114.65</v>
      </c>
      <c r="BF13" s="7"/>
      <c r="BG13" s="7"/>
      <c r="BH13" s="7"/>
      <c r="BI13" s="7"/>
      <c r="BJ13" s="3" t="s">
        <v>50</v>
      </c>
      <c r="BK13" s="3" t="s">
        <v>50</v>
      </c>
      <c r="BL13" s="3" t="s">
        <v>50</v>
      </c>
      <c r="BM13" s="3" t="s">
        <v>50</v>
      </c>
    </row>
    <row r="14" spans="1:65" x14ac:dyDescent="0.3">
      <c r="A14" s="13">
        <v>13</v>
      </c>
      <c r="B14" s="13" t="s">
        <v>71</v>
      </c>
      <c r="C14" s="3" t="s">
        <v>66</v>
      </c>
      <c r="D14" s="3" t="s">
        <v>49</v>
      </c>
      <c r="E14" s="4" t="s">
        <v>50</v>
      </c>
      <c r="F14" s="3">
        <v>0</v>
      </c>
      <c r="G14" s="3" t="s">
        <v>51</v>
      </c>
      <c r="H14" s="3" t="s">
        <v>52</v>
      </c>
      <c r="I14" s="3">
        <v>3</v>
      </c>
      <c r="J14" s="3">
        <v>3</v>
      </c>
      <c r="K14" s="3">
        <v>3</v>
      </c>
      <c r="L14" s="3" t="s">
        <v>51</v>
      </c>
      <c r="M14" s="3" t="s">
        <v>51</v>
      </c>
      <c r="N14" s="3" t="s">
        <v>51</v>
      </c>
      <c r="O14" s="3" t="s">
        <v>54</v>
      </c>
      <c r="P14" s="3" t="s">
        <v>50</v>
      </c>
      <c r="Q14" s="10">
        <v>7.4539999999999995E-2</v>
      </c>
      <c r="R14" s="3" t="s">
        <v>78</v>
      </c>
      <c r="S14" s="3"/>
      <c r="T14" s="3" t="s">
        <v>51</v>
      </c>
      <c r="U14" s="3" t="s">
        <v>51</v>
      </c>
      <c r="V14" s="3" t="s">
        <v>53</v>
      </c>
      <c r="W14" s="3">
        <v>3.6509999999999998</v>
      </c>
      <c r="X14" s="3">
        <v>2.464</v>
      </c>
      <c r="Y14" s="3">
        <v>3.6509999999999998</v>
      </c>
      <c r="Z14" s="3">
        <v>0</v>
      </c>
      <c r="AA14" s="3">
        <v>13.651</v>
      </c>
      <c r="AB14" s="10">
        <v>0.19650999999999999</v>
      </c>
      <c r="AC14" s="3" t="s">
        <v>51</v>
      </c>
      <c r="AD14" s="3" t="s">
        <v>73</v>
      </c>
      <c r="AE14" s="3" t="s">
        <v>53</v>
      </c>
      <c r="AF14" s="3">
        <v>0</v>
      </c>
      <c r="AG14" s="13" t="s">
        <v>74</v>
      </c>
      <c r="AH14" s="13" t="s">
        <v>74</v>
      </c>
      <c r="AI14" s="9">
        <f>Y14</f>
        <v>3.6509999999999998</v>
      </c>
      <c r="AJ14" s="9">
        <v>4</v>
      </c>
      <c r="AK14" s="9">
        <v>1</v>
      </c>
      <c r="AL14" s="9">
        <v>12.483000000000001</v>
      </c>
      <c r="AM14" s="9">
        <v>14.692</v>
      </c>
      <c r="AN14" s="9">
        <v>15.378</v>
      </c>
      <c r="AO14" s="9">
        <v>16.942</v>
      </c>
      <c r="AP14" s="9">
        <f t="shared" si="17"/>
        <v>59.494999999999997</v>
      </c>
      <c r="AQ14" s="9">
        <f>(AI14*AK14)+(AL14*AJ14*AK14)+(AM14*(AJ14/2)*AK14)+(AN14*(AJ14/2)*AK14)+(AO14*(AJ14/2)*AK14)</f>
        <v>147.607</v>
      </c>
      <c r="AR14" s="3">
        <f t="shared" ref="AR14:AR17" si="21">AQ14</f>
        <v>147.607</v>
      </c>
      <c r="AS14" s="3">
        <f t="shared" si="11"/>
        <v>147.607</v>
      </c>
      <c r="AT14" s="3">
        <f t="shared" si="7"/>
        <v>1</v>
      </c>
      <c r="AU14" s="3">
        <f t="shared" si="1"/>
        <v>147.607</v>
      </c>
      <c r="AV14" s="3">
        <f t="shared" si="2"/>
        <v>147.607</v>
      </c>
      <c r="AW14" s="3" t="s">
        <v>57</v>
      </c>
      <c r="AX14" s="3">
        <f>AV14</f>
        <v>147.607</v>
      </c>
      <c r="AY14" s="3">
        <f t="shared" si="3"/>
        <v>13.651</v>
      </c>
      <c r="AZ14" s="3">
        <f t="shared" si="4"/>
        <v>0</v>
      </c>
      <c r="BA14" s="3">
        <f t="shared" si="5"/>
        <v>6.1150000000000002</v>
      </c>
      <c r="BB14" s="7">
        <f t="shared" si="16"/>
        <v>12.47598342</v>
      </c>
      <c r="BC14" s="7">
        <f t="shared" si="6"/>
        <v>35.342123731864206</v>
      </c>
      <c r="BD14" s="18">
        <f t="shared" si="9"/>
        <v>179.84898342000002</v>
      </c>
      <c r="BE14" s="18">
        <f>SUM(AX14+AY14+AZ14+BA14+BB14-BC14)</f>
        <v>144.50685968813582</v>
      </c>
      <c r="BF14" s="18"/>
      <c r="BG14" s="18"/>
      <c r="BH14" s="18"/>
      <c r="BI14" s="18"/>
      <c r="BJ14" s="3" t="s">
        <v>50</v>
      </c>
      <c r="BK14" s="3" t="s">
        <v>50</v>
      </c>
      <c r="BL14" s="3" t="s">
        <v>50</v>
      </c>
      <c r="BM14" s="3" t="s">
        <v>50</v>
      </c>
    </row>
    <row r="15" spans="1:65" x14ac:dyDescent="0.3">
      <c r="A15" s="13">
        <v>14</v>
      </c>
      <c r="B15" s="13" t="s">
        <v>71</v>
      </c>
      <c r="C15" s="3" t="s">
        <v>80</v>
      </c>
      <c r="D15" s="3" t="s">
        <v>67</v>
      </c>
      <c r="E15" s="4">
        <v>100</v>
      </c>
      <c r="F15" s="3">
        <v>4.6500000000000004</v>
      </c>
      <c r="G15" s="3" t="s">
        <v>53</v>
      </c>
      <c r="H15" s="3" t="s">
        <v>50</v>
      </c>
      <c r="I15" s="3">
        <v>2</v>
      </c>
      <c r="J15" s="3">
        <v>2</v>
      </c>
      <c r="K15" s="3">
        <v>2</v>
      </c>
      <c r="L15" s="3" t="s">
        <v>51</v>
      </c>
      <c r="M15" s="3" t="s">
        <v>51</v>
      </c>
      <c r="N15" s="3" t="s">
        <v>51</v>
      </c>
      <c r="O15" s="3" t="s">
        <v>54</v>
      </c>
      <c r="P15" s="3" t="s">
        <v>50</v>
      </c>
      <c r="Q15" s="5">
        <v>0</v>
      </c>
      <c r="R15" s="3" t="s">
        <v>55</v>
      </c>
      <c r="S15" s="3"/>
      <c r="T15" s="3" t="s">
        <v>51</v>
      </c>
      <c r="U15" s="3" t="s">
        <v>51</v>
      </c>
      <c r="V15" s="3" t="s">
        <v>53</v>
      </c>
      <c r="W15" s="3">
        <v>1.65</v>
      </c>
      <c r="X15" s="3">
        <v>9.65</v>
      </c>
      <c r="Y15" s="3">
        <v>0</v>
      </c>
      <c r="Z15" s="3">
        <v>7.45</v>
      </c>
      <c r="AA15" s="3">
        <v>16.510000000000002</v>
      </c>
      <c r="AB15" s="5">
        <v>0.1744</v>
      </c>
      <c r="AC15" s="3" t="s">
        <v>56</v>
      </c>
      <c r="AD15" s="3" t="s">
        <v>73</v>
      </c>
      <c r="AE15" s="3" t="s">
        <v>53</v>
      </c>
      <c r="AF15" s="3">
        <v>0</v>
      </c>
      <c r="AG15" s="13" t="s">
        <v>75</v>
      </c>
      <c r="AH15" s="13" t="s">
        <v>74</v>
      </c>
      <c r="AI15" s="9">
        <f>Z15</f>
        <v>7.45</v>
      </c>
      <c r="AJ15" s="9">
        <v>2</v>
      </c>
      <c r="AK15" s="9">
        <v>2</v>
      </c>
      <c r="AL15" s="9">
        <v>15.16</v>
      </c>
      <c r="AM15" s="9">
        <v>17.03</v>
      </c>
      <c r="AN15" s="9">
        <v>18.52</v>
      </c>
      <c r="AO15" s="9">
        <v>11.27</v>
      </c>
      <c r="AP15" s="9">
        <f t="shared" si="17"/>
        <v>61.97999999999999</v>
      </c>
      <c r="AQ15" s="9">
        <f>(AI15)+(AL15*AJ15*AK15)+(AM15*(AJ15/2)*AK15)+(AN15*(AJ15/2)*AK15)+(AO15*(AJ15/2)*AK15)</f>
        <v>161.72999999999999</v>
      </c>
      <c r="AR15" s="3">
        <f t="shared" si="21"/>
        <v>161.72999999999999</v>
      </c>
      <c r="AS15" s="3">
        <f t="shared" si="11"/>
        <v>161.72999999999999</v>
      </c>
      <c r="AT15" s="3">
        <f t="shared" si="7"/>
        <v>2</v>
      </c>
      <c r="AU15" s="3">
        <f t="shared" si="1"/>
        <v>161.72999999999999</v>
      </c>
      <c r="AV15" s="3">
        <f t="shared" si="2"/>
        <v>161.72999999999999</v>
      </c>
      <c r="AW15" s="3" t="s">
        <v>57</v>
      </c>
      <c r="AX15" s="3">
        <f t="shared" ref="AX15:AX17" si="22">AV15</f>
        <v>161.72999999999999</v>
      </c>
      <c r="AY15" s="3">
        <f t="shared" si="3"/>
        <v>33.020000000000003</v>
      </c>
      <c r="AZ15" s="3">
        <f t="shared" si="4"/>
        <v>4.6500000000000004</v>
      </c>
      <c r="BA15" s="3">
        <f t="shared" si="5"/>
        <v>11.3</v>
      </c>
      <c r="BB15" s="7">
        <f t="shared" si="16"/>
        <v>0</v>
      </c>
      <c r="BC15" s="7">
        <f t="shared" si="6"/>
        <v>36.746080000000006</v>
      </c>
      <c r="BD15" s="7">
        <f t="shared" si="9"/>
        <v>210.70000000000002</v>
      </c>
      <c r="BE15" s="7">
        <f t="shared" ref="BE15:BE17" si="23">SUM(AX15+AY15+AZ15+BA15+BB15-BC15)</f>
        <v>173.95392000000001</v>
      </c>
      <c r="BF15" s="3">
        <v>1</v>
      </c>
      <c r="BG15" s="3">
        <v>1</v>
      </c>
      <c r="BH15" s="7">
        <f>AA15*BF15</f>
        <v>16.510000000000002</v>
      </c>
      <c r="BI15" s="7">
        <f>AA15*BG15</f>
        <v>16.510000000000002</v>
      </c>
      <c r="BJ15" s="3" t="s">
        <v>50</v>
      </c>
      <c r="BK15" s="3" t="s">
        <v>50</v>
      </c>
      <c r="BL15" s="3" t="s">
        <v>50</v>
      </c>
      <c r="BM15" s="3" t="s">
        <v>50</v>
      </c>
    </row>
    <row r="16" spans="1:65" x14ac:dyDescent="0.3">
      <c r="A16" s="13">
        <v>15</v>
      </c>
      <c r="B16" s="13" t="s">
        <v>71</v>
      </c>
      <c r="C16" s="3" t="s">
        <v>80</v>
      </c>
      <c r="D16" s="3" t="s">
        <v>49</v>
      </c>
      <c r="E16" s="4" t="s">
        <v>50</v>
      </c>
      <c r="F16" s="3">
        <v>9.5161999999999995</v>
      </c>
      <c r="G16" s="3" t="s">
        <v>51</v>
      </c>
      <c r="H16" s="3" t="s">
        <v>52</v>
      </c>
      <c r="I16" s="3">
        <v>4</v>
      </c>
      <c r="J16" s="3">
        <v>4</v>
      </c>
      <c r="K16" s="3">
        <v>4</v>
      </c>
      <c r="L16" s="3" t="s">
        <v>53</v>
      </c>
      <c r="M16" s="3" t="s">
        <v>53</v>
      </c>
      <c r="N16" s="3" t="s">
        <v>51</v>
      </c>
      <c r="O16" s="3" t="s">
        <v>54</v>
      </c>
      <c r="P16" s="3" t="s">
        <v>50</v>
      </c>
      <c r="Q16" s="11">
        <v>4.5455000000000002E-2</v>
      </c>
      <c r="R16" s="3" t="s">
        <v>79</v>
      </c>
      <c r="S16" s="3"/>
      <c r="T16" s="3" t="s">
        <v>51</v>
      </c>
      <c r="U16" s="3" t="s">
        <v>51</v>
      </c>
      <c r="V16" s="3" t="s">
        <v>53</v>
      </c>
      <c r="W16" s="3">
        <v>7</v>
      </c>
      <c r="X16" s="3">
        <v>9</v>
      </c>
      <c r="Y16" s="3">
        <v>0</v>
      </c>
      <c r="Z16" s="3">
        <v>9.8765999999999998</v>
      </c>
      <c r="AA16" s="3">
        <v>19.651599999999998</v>
      </c>
      <c r="AB16" s="6">
        <v>0</v>
      </c>
      <c r="AC16" s="3" t="s">
        <v>56</v>
      </c>
      <c r="AD16" s="3" t="s">
        <v>73</v>
      </c>
      <c r="AE16" s="3" t="s">
        <v>53</v>
      </c>
      <c r="AF16" s="3">
        <v>0</v>
      </c>
      <c r="AG16" s="13" t="s">
        <v>75</v>
      </c>
      <c r="AH16" s="13" t="s">
        <v>75</v>
      </c>
      <c r="AI16" s="9">
        <f>Z16</f>
        <v>9.8765999999999998</v>
      </c>
      <c r="AJ16" s="9">
        <v>4</v>
      </c>
      <c r="AK16" s="9">
        <v>3</v>
      </c>
      <c r="AL16" s="9">
        <v>13.7654</v>
      </c>
      <c r="AM16" s="9">
        <v>15.8126</v>
      </c>
      <c r="AN16" s="9">
        <v>10.9582</v>
      </c>
      <c r="AO16" s="9">
        <v>8.7643000000000004</v>
      </c>
      <c r="AP16" s="9">
        <f t="shared" si="17"/>
        <v>49.3005</v>
      </c>
      <c r="AQ16" s="9">
        <f>AI16+AP16</f>
        <v>59.177099999999996</v>
      </c>
      <c r="AR16" s="3">
        <f t="shared" si="21"/>
        <v>59.177099999999996</v>
      </c>
      <c r="AS16" s="3">
        <f t="shared" si="11"/>
        <v>59.177099999999996</v>
      </c>
      <c r="AT16" s="3">
        <f t="shared" si="7"/>
        <v>3</v>
      </c>
      <c r="AU16" s="3">
        <f t="shared" si="1"/>
        <v>59.177099999999996</v>
      </c>
      <c r="AV16" s="3">
        <f t="shared" si="2"/>
        <v>59.177099999999996</v>
      </c>
      <c r="AW16" s="3" t="s">
        <v>57</v>
      </c>
      <c r="AX16" s="3">
        <f t="shared" si="22"/>
        <v>59.177099999999996</v>
      </c>
      <c r="AY16" s="3">
        <f t="shared" si="3"/>
        <v>58.954799999999992</v>
      </c>
      <c r="AZ16" s="3">
        <f t="shared" si="4"/>
        <v>9.5161999999999995</v>
      </c>
      <c r="BA16" s="3">
        <f t="shared" si="5"/>
        <v>16</v>
      </c>
      <c r="BB16" s="17">
        <f t="shared" si="16"/>
        <v>6.5295243855000002</v>
      </c>
      <c r="BC16" s="3">
        <f t="shared" si="6"/>
        <v>0</v>
      </c>
      <c r="BD16" s="17">
        <f t="shared" si="9"/>
        <v>150.1776243855</v>
      </c>
      <c r="BE16" s="17">
        <f t="shared" si="23"/>
        <v>150.1776243855</v>
      </c>
      <c r="BF16" s="3">
        <v>2</v>
      </c>
      <c r="BG16" s="3">
        <v>1</v>
      </c>
      <c r="BH16" s="7">
        <f>AA16*BF16</f>
        <v>39.303199999999997</v>
      </c>
      <c r="BI16" s="7">
        <f>AA16*BG16</f>
        <v>19.651599999999998</v>
      </c>
      <c r="BJ16" s="3" t="s">
        <v>50</v>
      </c>
      <c r="BK16" s="3" t="s">
        <v>50</v>
      </c>
      <c r="BL16" s="3" t="s">
        <v>50</v>
      </c>
      <c r="BM16" s="3" t="s">
        <v>50</v>
      </c>
    </row>
    <row r="17" spans="1:65" x14ac:dyDescent="0.3">
      <c r="A17" s="13">
        <v>16</v>
      </c>
      <c r="B17" s="13" t="s">
        <v>71</v>
      </c>
      <c r="C17" s="3" t="s">
        <v>80</v>
      </c>
      <c r="D17" s="3" t="s">
        <v>67</v>
      </c>
      <c r="E17" s="4">
        <v>100</v>
      </c>
      <c r="F17" s="3">
        <v>7.3129999999999997</v>
      </c>
      <c r="G17" s="3" t="s">
        <v>51</v>
      </c>
      <c r="H17" s="3" t="s">
        <v>52</v>
      </c>
      <c r="I17" s="3">
        <v>3</v>
      </c>
      <c r="J17" s="3">
        <v>3</v>
      </c>
      <c r="K17" s="3">
        <v>3</v>
      </c>
      <c r="L17" s="3" t="s">
        <v>53</v>
      </c>
      <c r="M17" s="3" t="s">
        <v>53</v>
      </c>
      <c r="N17" s="3" t="s">
        <v>51</v>
      </c>
      <c r="O17" s="3" t="s">
        <v>54</v>
      </c>
      <c r="P17" s="3" t="s">
        <v>50</v>
      </c>
      <c r="Q17" s="10">
        <v>0.10446</v>
      </c>
      <c r="R17" s="3" t="s">
        <v>55</v>
      </c>
      <c r="S17" s="3"/>
      <c r="T17" s="3" t="s">
        <v>51</v>
      </c>
      <c r="U17" s="3" t="s">
        <v>51</v>
      </c>
      <c r="V17" s="3" t="s">
        <v>53</v>
      </c>
      <c r="W17" s="3">
        <v>9.516</v>
      </c>
      <c r="X17" s="3">
        <v>3.5129999999999999</v>
      </c>
      <c r="Y17" s="3">
        <v>9.6509999999999998</v>
      </c>
      <c r="Z17" s="3">
        <v>0</v>
      </c>
      <c r="AA17" s="3">
        <v>16.651</v>
      </c>
      <c r="AB17" s="6">
        <v>0</v>
      </c>
      <c r="AC17" s="3" t="s">
        <v>56</v>
      </c>
      <c r="AD17" s="3" t="s">
        <v>73</v>
      </c>
      <c r="AE17" s="3" t="s">
        <v>53</v>
      </c>
      <c r="AF17" s="3">
        <v>0</v>
      </c>
      <c r="AG17" s="13" t="s">
        <v>74</v>
      </c>
      <c r="AH17" s="13" t="s">
        <v>75</v>
      </c>
      <c r="AI17" s="9">
        <f t="shared" ref="AI17" si="24">Y17</f>
        <v>9.6509999999999998</v>
      </c>
      <c r="AJ17" s="9">
        <v>6</v>
      </c>
      <c r="AK17" s="9">
        <v>4</v>
      </c>
      <c r="AL17" s="9">
        <v>9.3539999999999992</v>
      </c>
      <c r="AM17" s="9">
        <v>7.6239999999999997</v>
      </c>
      <c r="AN17" s="9">
        <v>4.9820000000000002</v>
      </c>
      <c r="AO17" s="9">
        <v>4.516</v>
      </c>
      <c r="AP17" s="9">
        <f t="shared" si="17"/>
        <v>26.475999999999999</v>
      </c>
      <c r="AQ17" s="9">
        <f>(AI17*AK17)+AP17</f>
        <v>65.08</v>
      </c>
      <c r="AR17" s="3">
        <f t="shared" si="21"/>
        <v>65.08</v>
      </c>
      <c r="AS17" s="3">
        <f t="shared" si="11"/>
        <v>65.08</v>
      </c>
      <c r="AT17" s="3">
        <f t="shared" si="7"/>
        <v>4</v>
      </c>
      <c r="AU17" s="3">
        <f t="shared" si="1"/>
        <v>65.08</v>
      </c>
      <c r="AV17" s="3">
        <f t="shared" si="2"/>
        <v>65.08</v>
      </c>
      <c r="AW17" s="3" t="s">
        <v>57</v>
      </c>
      <c r="AX17" s="3">
        <f t="shared" si="22"/>
        <v>65.08</v>
      </c>
      <c r="AY17" s="3">
        <f t="shared" si="3"/>
        <v>66.603999999999999</v>
      </c>
      <c r="AZ17" s="3">
        <f t="shared" si="4"/>
        <v>7.3129999999999997</v>
      </c>
      <c r="BA17" s="3">
        <f t="shared" si="5"/>
        <v>13.029</v>
      </c>
      <c r="BB17" s="7">
        <f t="shared" si="16"/>
        <v>15.880635959999998</v>
      </c>
      <c r="BC17" s="7">
        <f t="shared" si="6"/>
        <v>0</v>
      </c>
      <c r="BD17" s="18">
        <f t="shared" si="9"/>
        <v>167.90663595999999</v>
      </c>
      <c r="BE17" s="7">
        <f t="shared" si="23"/>
        <v>167.90663595999999</v>
      </c>
      <c r="BF17" s="3">
        <v>2</v>
      </c>
      <c r="BG17" s="3">
        <v>2</v>
      </c>
      <c r="BH17" s="7">
        <f>AA17*BF17</f>
        <v>33.302</v>
      </c>
      <c r="BI17" s="7">
        <f>AA17*BG17</f>
        <v>33.302</v>
      </c>
      <c r="BJ17" s="3" t="s">
        <v>50</v>
      </c>
      <c r="BK17" s="3" t="s">
        <v>50</v>
      </c>
      <c r="BL17" s="3" t="s">
        <v>50</v>
      </c>
      <c r="BM17" s="3" t="s">
        <v>50</v>
      </c>
    </row>
    <row r="19" spans="1:65" x14ac:dyDescent="0.3">
      <c r="AP19" s="16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Vatti Manoj</cp:lastModifiedBy>
  <dcterms:created xsi:type="dcterms:W3CDTF">2015-06-05T18:17:20Z</dcterms:created>
  <dcterms:modified xsi:type="dcterms:W3CDTF">2026-01-23T15:01:22Z</dcterms:modified>
</cp:coreProperties>
</file>